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quiry Input" sheetId="1" r:id="rId4"/>
    <sheet state="visible" name="Material Master" sheetId="2" r:id="rId5"/>
    <sheet state="visible" name="Machine Rate Master" sheetId="3" r:id="rId6"/>
    <sheet state="visible" name="Machine Time Master" sheetId="4" r:id="rId7"/>
    <sheet state="visible" name="Process Rate Master" sheetId="5" r:id="rId8"/>
    <sheet state="visible" name="Tube" sheetId="6" r:id="rId9"/>
    <sheet state="visible" name="Piston Rod" sheetId="7" r:id="rId10"/>
    <sheet state="visible" name="Cap End Cover" sheetId="8" r:id="rId11"/>
    <sheet state="visible" name="Head End Cover" sheetId="9" r:id="rId12"/>
    <sheet state="visible" name="Gland" sheetId="10" r:id="rId13"/>
    <sheet state="visible" name="Cushion Bush" sheetId="11" r:id="rId14"/>
    <sheet state="visible" name="Stop Tube" sheetId="12" r:id="rId15"/>
    <sheet state="visible" name="Rear Eye" sheetId="13" r:id="rId16"/>
    <sheet state="visible" name="Rod Eye" sheetId="14" r:id="rId17"/>
    <sheet state="visible" name="Piston" sheetId="15" r:id="rId18"/>
    <sheet state="visible" name="Flange" sheetId="16" r:id="rId19"/>
    <sheet state="visible" name="Trunnion" sheetId="17" r:id="rId20"/>
    <sheet state="visible" name="Bought Out &amp; Seal Kit Master" sheetId="18" r:id="rId21"/>
    <sheet state="visible" name="Assembly Painting Packing" sheetId="19" r:id="rId22"/>
    <sheet state="visible" name="Reconditioning" sheetId="20" r:id="rId23"/>
    <sheet state="visible" name="Cost Summary" sheetId="21" r:id="rId24"/>
    <sheet state="visible" name="Actual Cost Tracker" sheetId="22" r:id="rId25"/>
    <sheet state="visible" name="Cylinder Database" sheetId="23" r:id="rId26"/>
    <sheet state="visible" name="Final Output" sheetId="24" r:id="rId27"/>
  </sheets>
  <definedNames>
    <definedName name="TurningLenBins">'Machine Time Master'!$C$14:$F$14</definedName>
    <definedName name="Trunnion_TotalCost">Trunnion!$B$46</definedName>
    <definedName name="ReconditioningInclude">Reconditioning!$B$3</definedName>
    <definedName name="Flange_Weight">Flange!$B$15</definedName>
    <definedName name="HoningLenBins">'Machine Time Master'!$C$39:$E$39</definedName>
    <definedName name="Reconditioning_TotalCost">Reconditioning!$B$32</definedName>
    <definedName name="CEC_MaterialCost">'Cap End Cover'!$B$43</definedName>
    <definedName name="StopTube_TotalCost">'Stop Tube'!$B$37</definedName>
    <definedName name="RearEye_TotalCost">'Rear Eye'!$B$42</definedName>
    <definedName name="ChromePlatingRate">'Process Rate Master'!$B$9</definedName>
    <definedName name="TotalSealKitCost">'Bought Out &amp; Seal Kit Master'!$B$16</definedName>
    <definedName name="MillingBins">'Machine Time Master'!$A$56:$A$59</definedName>
    <definedName name="InquiryDate">'Inquiry Input'!$B$4</definedName>
    <definedName name="PaintingRate">'Process Rate Master'!$B$8</definedName>
    <definedName name="HEC_Weight">'Head End Cover'!$B$19</definedName>
    <definedName name="RodDia">'Inquiry Input'!$B$9</definedName>
    <definedName name="ComponentManufacturingCost">'Cost Summary'!$B$19</definedName>
    <definedName name="Gland_UnitCost">Gland!$B$44</definedName>
    <definedName name="Tube_ProcessCost">Tube!$B$72</definedName>
    <definedName name="StopTube_Weight">'Stop Tube'!$B$16</definedName>
    <definedName name="MachineRateMaster_Range">'Machine Rate Master'!$A$4:$B$10</definedName>
    <definedName name="Gland_MaterialCost">Gland!$B$41</definedName>
    <definedName name="Piston_MaterialCost">Piston!$B$39</definedName>
    <definedName name="StopTube_UnitCost">'Stop Tube'!$B$36</definedName>
    <definedName name="WeldSpeed">'Process Rate Master'!$B$34</definedName>
    <definedName name="Gland_ProcessCost">Gland!$B$42</definedName>
    <definedName name="RearEye_UnitCost">'Rear Eye'!$B$41</definedName>
    <definedName name="Piston_UnitCost">Piston!$B$42</definedName>
    <definedName name="AssemblyCost">'Assembly Painting Packing'!$B$7</definedName>
    <definedName name="Trunnion_Weight">Trunnion!$B$16</definedName>
    <definedName name="RoughTurningTable">'Machine Time Master'!$C$15:$F$18</definedName>
    <definedName name="BoringTable">'Machine Time Master'!$C$32:$F$35</definedName>
    <definedName name="CEC_Weight">'Cap End Cover'!$B$19</definedName>
    <definedName name="CuttingTable">'Machine Time Master'!$C$7:$F$10</definedName>
    <definedName name="PistonRod_TotalCost">'Piston Rod'!$B$61</definedName>
    <definedName name="WeldBeadsLow">'Process Rate Master'!$B$36</definedName>
    <definedName name="Flange_ProcessCost">Flange!$B$40</definedName>
    <definedName name="PolishingRate">'Process Rate Master'!$B$7</definedName>
    <definedName name="Tube_MaterialCost">Tube!$B$71</definedName>
    <definedName name="WeldWireRate">'Process Rate Master'!$B$32</definedName>
    <definedName name="RearEye_ProcessCost">'Rear Eye'!$B$39</definedName>
    <definedName name="CustomerLocation">'Inquiry Input'!$B$6</definedName>
    <definedName name="AssemblyPaintingPackingTotal">'Assembly Painting Packing'!$B$21</definedName>
    <definedName name="CylinderName">'Inquiry Input'!$B$7</definedName>
    <definedName name="PistonRod_MaterialCost">'Piston Rod'!$B$57</definedName>
    <definedName name="Trunnion_UnitCost">Trunnion!$B$45</definedName>
    <definedName name="WeldDepositionRate">'Process Rate Master'!$B$33</definedName>
    <definedName name="CEC_ProcessCost">'Cap End Cover'!$B$44</definedName>
    <definedName name="StockRemovalTable">'Machine Time Master'!$A$22:$C$25</definedName>
    <definedName name="FinalOutput_TotalCylinderCost">'Final Output'!$C$16</definedName>
    <definedName name="PistonRod_Weight">'Piston Rod'!$B$16</definedName>
    <definedName name="Tube_Weight">Tube!$B$17</definedName>
    <definedName name="HEC_TotalCost">'Head End Cover'!$B$47</definedName>
    <definedName name="GrindingTimeTable">'Machine Time Master'!$C$49:$E$52</definedName>
    <definedName name="StopTube_MaterialCost">'Stop Tube'!$B$33</definedName>
    <definedName name="TurningODBins">'Machine Time Master'!$A$15:$A$18</definedName>
    <definedName name="PackingCost">'Assembly Painting Packing'!$B$18</definedName>
    <definedName name="InductionHardeningRate">'Process Rate Master'!$B$5</definedName>
    <definedName name="GrindingODBins">'Machine Time Master'!$A$49:$A$52</definedName>
    <definedName name="Piston_Weight">Piston!$B$15</definedName>
    <definedName name="ProfileCuttingTimeTable">'Machine Time Master'!$A$71:$C$74</definedName>
    <definedName name="StopTube_ProcessCost">'Stop Tube'!$B$34</definedName>
    <definedName name="RodEye_UnitCost">'Rod Eye'!$B$43</definedName>
    <definedName name="Piston_ProcessCost">Piston!$B$40</definedName>
    <definedName name="HoningRateHigh">'Process Rate Master'!$B$26</definedName>
    <definedName name="RodEye_Weight">'Rod Eye'!$B$19</definedName>
    <definedName name="CushionBush_ProcessCost">'Cushion Bush'!$B$36</definedName>
    <definedName name="PackingLooseRate">'Process Rate Master'!$B$12</definedName>
    <definedName name="BoringLenBins">'Machine Time Master'!$C$31:$F$31</definedName>
    <definedName name="HEC_UnitCost">'Head End Cover'!$B$46</definedName>
    <definedName name="HoningIDBins">'Machine Time Master'!$A$40:$A$43</definedName>
    <definedName name="TotalManufacturingCost">'Cost Summary'!$B$38</definedName>
    <definedName name="RodEye_MaterialCost">'Rod Eye'!$B$40</definedName>
    <definedName name="PistonRod_ProcessCost">'Piston Rod'!$B$58</definedName>
    <definedName name="CuttingODBins">'Machine Time Master'!$A$7:$A$10</definedName>
    <definedName name="DrillingBins">'Machine Time Master'!$A$63:$A$66</definedName>
    <definedName name="Bore">'Inquiry Input'!$B$8</definedName>
    <definedName name="WeldLabourRate">'Process Rate Master'!$B$31</definedName>
    <definedName name="DechromePlatingRate">'Process Rate Master'!$B$10</definedName>
    <definedName name="WorkingPressure">'Inquiry Input'!$B$12</definedName>
    <definedName name="ActualTotalCost">'Actual Cost Tracker'!$B$23</definedName>
    <definedName name="JobType">'Inquiry Input'!$B$13</definedName>
    <definedName name="MaterialMaster_Range">'Material Master'!$A$4:$D$12</definedName>
    <definedName name="Mounting">'Inquiry Input'!$B$11</definedName>
    <definedName name="RodEye_TotalCost">'Rod Eye'!$B$44</definedName>
    <definedName name="WeldBeadsHigh">'Process Rate Master'!$B$37</definedName>
    <definedName name="Stroke">'Inquiry Input'!$B$10</definedName>
    <definedName name="RearEye_MaterialCost">'Rear Eye'!$B$38</definedName>
    <definedName name="GrindingLenBins">'Machine Time Master'!$C$48:$E$48</definedName>
    <definedName name="CEC_UnitCost">'Cap End Cover'!$B$46</definedName>
    <definedName name="Gland_Weight">Gland!$B$16</definedName>
    <definedName name="CustomerName">'Inquiry Input'!$B$5</definedName>
    <definedName name="HoningRateLow">'Process Rate Master'!$B$25</definedName>
    <definedName name="HeatTreatmentRate">'Process Rate Master'!$B$4</definedName>
    <definedName name="TotalBoughtOutCost">'Bought Out &amp; Seal Kit Master'!$B$17</definedName>
    <definedName name="HoningIDThreshold">'Process Rate Master'!$B$28</definedName>
    <definedName name="CushionBush_TotalCost">'Cushion Bush'!$B$39</definedName>
    <definedName name="PaintingCost">'Assembly Painting Packing'!$B$12</definedName>
    <definedName name="CEC_TotalCost">'Cap End Cover'!$B$47</definedName>
    <definedName name="WeldDiaThreshold">'Process Rate Master'!$B$35</definedName>
    <definedName name="CuttingLenBins">'Machine Time Master'!$C$6:$F$6</definedName>
    <definedName name="RodEye_ProcessCost">'Rod Eye'!$B$41</definedName>
    <definedName name="HEC_MaterialCost">'Head End Cover'!$B$43</definedName>
    <definedName name="Flange_TotalCost">Flange!$B$43</definedName>
    <definedName name="Tube_TotalCost">Tube!$B$75</definedName>
    <definedName name="Tube_UnitCost">Tube!$B$74</definedName>
    <definedName name="TurningRateTable">'Process Rate Master'!$A$19:$D$21</definedName>
    <definedName name="PackingWoodenRate">'Process Rate Master'!$B$13</definedName>
    <definedName name="HoningLengthThreshold">'Process Rate Master'!$B$27</definedName>
    <definedName name="InquiryNo">'Inquiry Input'!$B$3</definedName>
    <definedName name="ProfileCuttingRate">'Process Rate Master'!$B$11</definedName>
    <definedName name="Flange_UnitCost">Flange!$B$42</definedName>
    <definedName name="BoringIDBins">'Machine Time Master'!$A$32:$A$35</definedName>
    <definedName name="Gland_TotalCost">Gland!$B$45</definedName>
    <definedName name="TotalCylinderWeight">'Cost Summary'!$B$24</definedName>
    <definedName name="GrindingRate">'Process Rate Master'!$B$6</definedName>
    <definedName name="PistonRod_UnitCost">'Piston Rod'!$B$60</definedName>
    <definedName name="Trunnion_MaterialCost">Trunnion!$B$42</definedName>
    <definedName name="DrillingTable">'Machine Time Master'!$A$63:$C$66</definedName>
    <definedName name="Trunnion_ProcessCost">Trunnion!$B$43</definedName>
    <definedName name="ProfileCuttingBins">'Machine Time Master'!$A$71:$A$74</definedName>
    <definedName name="HEC_ProcessCost">'Head End Cover'!$B$44</definedName>
    <definedName name="MillingTable">'Machine Time Master'!$A$56:$C$59</definedName>
    <definedName name="CushionBush_MaterialCost">'Cushion Bush'!$B$35</definedName>
    <definedName name="HoningTable">'Machine Time Master'!$C$40:$E$43</definedName>
    <definedName name="RearEye_Weight">'Rear Eye'!$B$17</definedName>
    <definedName name="Flange_MaterialCost">Flange!$B$39</definedName>
    <definedName name="Piston_TotalCost">Piston!$B$43</definedName>
    <definedName name="CushionBush_Weight">'Cushion Bush'!$B$16</definedName>
    <definedName name="CushionBush_UnitCost">'Cushion Bush'!$B$38</definedName>
  </definedNames>
  <calcPr/>
  <extLst>
    <ext uri="GoogleSheetsCustomDataVersion2">
      <go:sheetsCustomData xmlns:go="http://customooxmlschemas.google.com/" r:id="rId28" roundtripDataChecksum="Ikv4Fqd506G91bZepU7Py05UYT/XR2YYG7vRyVld7Wg="/>
    </ext>
  </extLst>
</workbook>
</file>

<file path=xl/sharedStrings.xml><?xml version="1.0" encoding="utf-8"?>
<sst xmlns="http://schemas.openxmlformats.org/spreadsheetml/2006/main" count="1205" uniqueCount="465">
  <si>
    <t>MATERIAL RATE MASTER</t>
  </si>
  <si>
    <t>MACHINE HOUR RATE MASTER</t>
  </si>
  <si>
    <t>INQUIRY INPUT</t>
  </si>
  <si>
    <t>MACHINE TIME MASTER</t>
  </si>
  <si>
    <t>Hourly rates (Rs./Hr) used by every component sheet to cost machine hours. Machine names below are the ONLY names used across the whole workbook - keep them exactly as spelled here.</t>
  </si>
  <si>
    <t>Inquiry No.</t>
  </si>
  <si>
    <t>Single source of machine time standards. Every component sheet looks up hours from these tables via INDEX/MATCH or VLOOKUP - never enter machine hours manually.</t>
  </si>
  <si>
    <t>Machine</t>
  </si>
  <si>
    <t>SECTION 2 - CUTTING TIME (Hrs)  |  Inputs: OD, Length</t>
  </si>
  <si>
    <t>Add / edit materials here. Rates (blue) are inputs. Every component sheet looks up Density &amp; Rate from this table only.</t>
  </si>
  <si>
    <t>Material Code</t>
  </si>
  <si>
    <t>INQ-0001</t>
  </si>
  <si>
    <t>Hourly Rate (Rs./Hr)</t>
  </si>
  <si>
    <t>Process(es) Carried Out On This Machine</t>
  </si>
  <si>
    <t>Material Name / Grade</t>
  </si>
  <si>
    <t>CNC Lathe</t>
  </si>
  <si>
    <t>Density (g/cm3)</t>
  </si>
  <si>
    <t>Bin Start</t>
  </si>
  <si>
    <t>Rate (Rs./kg)</t>
  </si>
  <si>
    <t>Inquiry Date</t>
  </si>
  <si>
    <t>Remarks</t>
  </si>
  <si>
    <t>OD (mm)</t>
  </si>
  <si>
    <t>EN8</t>
  </si>
  <si>
    <t>Up to 500</t>
  </si>
  <si>
    <t>Finish Turning (rate overridden by Turning Rate Card below); generic Turning on CEC/HEC/Flange/Piston</t>
  </si>
  <si>
    <t>Center Lathe</t>
  </si>
  <si>
    <t>EN8 Carbon Steel</t>
  </si>
  <si>
    <t>501-1000</t>
  </si>
  <si>
    <t>1001-2000</t>
  </si>
  <si>
    <t>Boring; Rough Turning (rate overridden by Turning Rate Card below)</t>
  </si>
  <si>
    <t>2001-3000</t>
  </si>
  <si>
    <t>Milling Machine</t>
  </si>
  <si>
    <t>Customer Name</t>
  </si>
  <si>
    <t>Length/Area Bin Start (helper)</t>
  </si>
  <si>
    <t>Milling</t>
  </si>
  <si>
    <t>Drilling Machine</t>
  </si>
  <si>
    <t>Sample Customer Pvt Ltd</t>
  </si>
  <si>
    <t>Drilling</t>
  </si>
  <si>
    <t>Customer Location</t>
  </si>
  <si>
    <t>Tubes, general turning parts</t>
  </si>
  <si>
    <t>Honing Machine</t>
  </si>
  <si>
    <t>Bengaluru</t>
  </si>
  <si>
    <t>EN19</t>
  </si>
  <si>
    <t>Rough Honing and Finished Honing (utilisation reference; cost via Honing Rate Card)</t>
  </si>
  <si>
    <t>Cylinder Name / Application Department</t>
  </si>
  <si>
    <t>EN19 Alloy Steel</t>
  </si>
  <si>
    <t>Excavator Boom Cylinder</t>
  </si>
  <si>
    <t>Grinding Machine</t>
  </si>
  <si>
    <t>Grinding (utilisation reference; cost via Process Rate Master Rs./cm2)</t>
  </si>
  <si>
    <t>Bore (mm)</t>
  </si>
  <si>
    <t>Cutting Machine</t>
  </si>
  <si>
    <t>Piston Rod - heat treatable</t>
  </si>
  <si>
    <t>Up to 80</t>
  </si>
  <si>
    <t>Rod Diameter (mm)</t>
  </si>
  <si>
    <t>Cutting - universal flat charge</t>
  </si>
  <si>
    <t>EN24</t>
  </si>
  <si>
    <t>Stroke (mm)</t>
  </si>
  <si>
    <t>EN24 Alloy Steel</t>
  </si>
  <si>
    <t>Mounting Type</t>
  </si>
  <si>
    <t>High strength rods / eyes</t>
  </si>
  <si>
    <t>Clevis</t>
  </si>
  <si>
    <t>C45</t>
  </si>
  <si>
    <t>Working Pressure (bar)</t>
  </si>
  <si>
    <t>C45 Carbon Steel</t>
  </si>
  <si>
    <t>81-150</t>
  </si>
  <si>
    <t>Job Type</t>
  </si>
  <si>
    <t>Cap/Head End Covers, Gland, Flange</t>
  </si>
  <si>
    <t>ST52</t>
  </si>
  <si>
    <t>ST52 Seamless Tube</t>
  </si>
  <si>
    <t>Manufacturing</t>
  </si>
  <si>
    <t>Cylinder Tube raw material</t>
  </si>
  <si>
    <t>151-250</t>
  </si>
  <si>
    <t>SS-410</t>
  </si>
  <si>
    <t>This sheet feeds Cylinder ID, Customer &amp; Cylinder details automatically into Cost Summary and Cylinder Database.</t>
  </si>
  <si>
    <t>SS 410 Stainless</t>
  </si>
  <si>
    <t>Job Type here describes the overall job. In addition, every component sheet has its own 'New Material?' Yes/No selector - choose 'No' on a component to set that component's material cost to zero (existing part reused).</t>
  </si>
  <si>
    <t>Corrosion resistant rods</t>
  </si>
  <si>
    <t>Above 250</t>
  </si>
  <si>
    <t>BR-SAE660</t>
  </si>
  <si>
    <t>Bronze SAE 660</t>
  </si>
  <si>
    <t>For every new cylinder job, make a copy of this workbook (Inquiry Input + Master + Component + Cost Summary sheets) and feed fresh details here.</t>
  </si>
  <si>
    <t>Cushion Bush / Bearing Bush</t>
  </si>
  <si>
    <t>SECTION 3 - ROUGH TURNING TIME (Hrs)  |  Inputs: Finished OD, Length. Stock Removal = Raw OD - Finished OD</t>
  </si>
  <si>
    <t>Finished OD (mm)</t>
  </si>
  <si>
    <t>EN353</t>
  </si>
  <si>
    <t>EN353 Case Hardening Steel</t>
  </si>
  <si>
    <t>Pins / Bushes</t>
  </si>
  <si>
    <t>PLATE-IS2062</t>
  </si>
  <si>
    <t>IS2062 Plate</t>
  </si>
  <si>
    <t>Rear Eye / Rod Eye / Piston blanks</t>
  </si>
  <si>
    <t>MS</t>
  </si>
  <si>
    <t>STOCK REMOVAL CORRECTION FACTOR (applied to Rough Turning Time)</t>
  </si>
  <si>
    <t>Bin Start (helper)</t>
  </si>
  <si>
    <t>Stock Removal (mm)</t>
  </si>
  <si>
    <t>Factor</t>
  </si>
  <si>
    <t>&lt;= 2 mm</t>
  </si>
  <si>
    <t>&gt; 2 - 5 mm</t>
  </si>
  <si>
    <t>&gt; 5 - 10 mm</t>
  </si>
  <si>
    <t>&gt; 10 mm</t>
  </si>
  <si>
    <t>SECTION 4 - Finish Turning Time = Rough Turning Time (looked up the same way) x 0.70  (applied directly in component sheets)</t>
  </si>
  <si>
    <t>SECTION 5 - BORING TIME (Hrs)  |  Inputs: Finished ID, Bore Length</t>
  </si>
  <si>
    <t>ID (mm)</t>
  </si>
  <si>
    <t>Up to 250</t>
  </si>
  <si>
    <t>251-500</t>
  </si>
  <si>
    <t>PROCESS &amp; VENDOR RATE MASTER</t>
  </si>
  <si>
    <t>Rates for area/weight based finishing &amp; vendor processes and welding constants. Referenced by every component sheet - edit only here.</t>
  </si>
  <si>
    <t>Process</t>
  </si>
  <si>
    <t>Rate</t>
  </si>
  <si>
    <t>Unit</t>
  </si>
  <si>
    <t>Heat Treatment</t>
  </si>
  <si>
    <t>Rs./kg</t>
  </si>
  <si>
    <t>Induction Hardening</t>
  </si>
  <si>
    <t>Rs./cm2</t>
  </si>
  <si>
    <t>Grinding</t>
  </si>
  <si>
    <t>Polishing</t>
  </si>
  <si>
    <t>SECTION 6 - HONING TIME (Hrs, utilisation reference)  |  Cost is via Honing Rate Card (Process Rate Master), NOT this table</t>
  </si>
  <si>
    <t>Painting</t>
  </si>
  <si>
    <t>Chrome Plating</t>
  </si>
  <si>
    <t>Dechrome Plating</t>
  </si>
  <si>
    <t>Profile Cutting</t>
  </si>
  <si>
    <t>Packing - Loose</t>
  </si>
  <si>
    <t>Packing - Wooden Box</t>
  </si>
  <si>
    <t>TUBE - COSTING SHEET</t>
  </si>
  <si>
    <t>TURNING RATE CARD (Conventional / CNC Lathe - by Finished Diameter)</t>
  </si>
  <si>
    <t>SECTION A - MATERIAL INPUTS</t>
  </si>
  <si>
    <t>Overrides the flat machine rate for Rough Turning and Finish Turning specifically, in Tube and Piston Rod sheets.</t>
  </si>
  <si>
    <t>Diameter Range</t>
  </si>
  <si>
    <t>Rough Turning Rate (Rs./Hr)</t>
  </si>
  <si>
    <t>New Material? (Yes/No)</t>
  </si>
  <si>
    <t>Finish Turning Rate (Rs./Hr)</t>
  </si>
  <si>
    <t>Up to 100 mm</t>
  </si>
  <si>
    <t>SECTION 7 - GRINDING TIME (Hrs, machine utilisation reference)  |  Surface Area(cm2) = PI() x OD x Length / 100</t>
  </si>
  <si>
    <t>Yes</t>
  </si>
  <si>
    <t>Choose 'No' if this component is being reused / reconditioned (not newly purchased) - material cost below is then automatically set to zero.</t>
  </si>
  <si>
    <t>Parameter</t>
  </si>
  <si>
    <t>101-250 mm</t>
  </si>
  <si>
    <t>Value</t>
  </si>
  <si>
    <t>Grinding COST is charged via Process Rate Master (Rs./cm2). This table is for machine hour / utilisation tracking on the Dashboard.</t>
  </si>
  <si>
    <t>Above 250 mm</t>
  </si>
  <si>
    <t>HONING RATE CARD (Rough Honing &amp; Finished Honing)</t>
  </si>
  <si>
    <t>Material Grade</t>
  </si>
  <si>
    <t>Raw OD</t>
  </si>
  <si>
    <t>mm</t>
  </si>
  <si>
    <t>Finished OD</t>
  </si>
  <si>
    <t>Finished ID</t>
  </si>
  <si>
    <t>Cost = Internal Surface Area (cm2) x Rate. Threshold applies to BOTH Length (Stroke) AND ID together.</t>
  </si>
  <si>
    <t>Rate up to 4000mm Stroke &amp; 100mm ID (Rs./cm2)</t>
  </si>
  <si>
    <t>Length</t>
  </si>
  <si>
    <t>Rate beyond 4000mm Stroke or 100mm ID (Rs./cm2)</t>
  </si>
  <si>
    <t>Quantity (Nos)</t>
  </si>
  <si>
    <t>Length / Stroke Threshold (mm)</t>
  </si>
  <si>
    <t>ID Threshold (mm)</t>
  </si>
  <si>
    <t>AUTO CALCULATE - MATERIAL</t>
  </si>
  <si>
    <t>WELDING CONSTANTS (HISPL FORMULA)</t>
  </si>
  <si>
    <t>PISTON ROD - COSTING SHEET</t>
  </si>
  <si>
    <t>Labour Rate (Rs./Hr)</t>
  </si>
  <si>
    <t>Wire Cost (Rs./kg)</t>
  </si>
  <si>
    <t>Deposition Rate (kg/Hr)</t>
  </si>
  <si>
    <t>Welding Speed (mm/Hr)</t>
  </si>
  <si>
    <t>SECTION 8 - MILLING TIME (Hrs)  |  Input: Machined Area (mm2) = Width x Length</t>
  </si>
  <si>
    <t>Dia Threshold for Bead Count (mm)</t>
  </si>
  <si>
    <t>Beads if Dia &lt;= Threshold</t>
  </si>
  <si>
    <t>Beads if Dia &gt; Threshold</t>
  </si>
  <si>
    <t>Machined Area (mm2)</t>
  </si>
  <si>
    <t>Time (Hr)</t>
  </si>
  <si>
    <t>Up to 10,000</t>
  </si>
  <si>
    <t>Material Rate (Rs./kg)</t>
  </si>
  <si>
    <t>10,001-25,000</t>
  </si>
  <si>
    <t>25,001-50,000</t>
  </si>
  <si>
    <t>Raw Diameter</t>
  </si>
  <si>
    <t>Above 50,000</t>
  </si>
  <si>
    <t>Finished Diameter</t>
  </si>
  <si>
    <t>SECTION 9 - DRILLING TIME (Hrs per hole)  |  Total Time = Time/Hole x No. of Holes</t>
  </si>
  <si>
    <t>Hole Dia (mm)</t>
  </si>
  <si>
    <t>Time/Hole (Hr)</t>
  </si>
  <si>
    <t>Unit Weight (kg / pc)</t>
  </si>
  <si>
    <t>Up to 10</t>
  </si>
  <si>
    <t>11-20</t>
  </si>
  <si>
    <t>21-30</t>
  </si>
  <si>
    <t>Above 30</t>
  </si>
  <si>
    <t>SECTION 10 - PROFILE CUTTING TIME (Hrs, utilisation reference)  |  Input: Weight (kg)</t>
  </si>
  <si>
    <t>Profile Cutting COST is charged via Process Rate Master (Rs./kg). This table is for utilisation tracking.</t>
  </si>
  <si>
    <t>Total Weight for Qty (kg)</t>
  </si>
  <si>
    <t>Weight (kg)</t>
  </si>
  <si>
    <t>Material Cost / pc (Rs.)</t>
  </si>
  <si>
    <t>11-25</t>
  </si>
  <si>
    <t>26-50</t>
  </si>
  <si>
    <t>Total Material Cost for Qty (Rs.)</t>
  </si>
  <si>
    <t>Above 50</t>
  </si>
  <si>
    <t>SECTION 11 - SURFACE AREA MASTER (cm2) - referenced formulas, applied locally in each component sheet</t>
  </si>
  <si>
    <t>Formula</t>
  </si>
  <si>
    <t>Hole Diameter (mm) [for Drilling]</t>
  </si>
  <si>
    <t>Grinding / Chrome Plating / Dechrome Plating / Polishing / Painting / Induction Hardening (on OD)</t>
  </si>
  <si>
    <t>No. of Holes</t>
  </si>
  <si>
    <t>PI() x OD(mm) x Length(mm) / 100</t>
  </si>
  <si>
    <t>Honing (on ID)</t>
  </si>
  <si>
    <t>PI() x ID(mm) x Length(mm) / 100</t>
  </si>
  <si>
    <t>SECTION B - PROCESS ROUTING (auto machine hours from Machine Time Master)</t>
  </si>
  <si>
    <t>Apply?</t>
  </si>
  <si>
    <t>Machine / Basis</t>
  </si>
  <si>
    <t>Hours / Qty Basis</t>
  </si>
  <si>
    <t>Machined Width (mm) [for Milling]</t>
  </si>
  <si>
    <t>Rate (Rs.)</t>
  </si>
  <si>
    <t>Cost (Rs.)</t>
  </si>
  <si>
    <t>Machined Length (mm) [for Milling]</t>
  </si>
  <si>
    <t>Deep Hole Drilling Vendor Cost (Rs.) [manual]</t>
  </si>
  <si>
    <t>Cutting</t>
  </si>
  <si>
    <t>SECTION B - PROCESS ROUTING &amp; SECTION C - VENDOR / AREA BASED COST</t>
  </si>
  <si>
    <t>CAP END COVER - COSTING SHEET</t>
  </si>
  <si>
    <t>Rough Turning</t>
  </si>
  <si>
    <t>Conventional Lathe</t>
  </si>
  <si>
    <t>Raw Material Shape</t>
  </si>
  <si>
    <t>Round</t>
  </si>
  <si>
    <t>Round = solid round bar (uses Diameter). Profile / Cuboid Block = flat/rectangular stock (uses Width &amp; Height). Fill only the dimensions that apply.</t>
  </si>
  <si>
    <t>No</t>
  </si>
  <si>
    <t>Boring</t>
  </si>
  <si>
    <t>MS-C45</t>
  </si>
  <si>
    <t>Diameter</t>
  </si>
  <si>
    <t>mm - fill if Shape = Round</t>
  </si>
  <si>
    <t>Width</t>
  </si>
  <si>
    <t>mm - fill if Shape = Profile / Cuboid Block</t>
  </si>
  <si>
    <t>Height</t>
  </si>
  <si>
    <t>Thickness</t>
  </si>
  <si>
    <t>mm - used for Turning / Milling / Drilling below, regardless of raw shape chosen</t>
  </si>
  <si>
    <t>-- vendor / area-based processes use Weight or Surface Area as basis (still auto-computed) --</t>
  </si>
  <si>
    <t>Vendor (Rs./kg)</t>
  </si>
  <si>
    <t>Rough Honing</t>
  </si>
  <si>
    <t>Vendor (Rs./cm2)</t>
  </si>
  <si>
    <t>Finish Turning</t>
  </si>
  <si>
    <t>HEAD END COVER - COSTING SHEET</t>
  </si>
  <si>
    <t>Finished Honing</t>
  </si>
  <si>
    <t>SECTION B - PROCESS ROUTING</t>
  </si>
  <si>
    <t>In-house (Rs./cm2)</t>
  </si>
  <si>
    <t>Turning</t>
  </si>
  <si>
    <t>SECTION C - WELDING (HISPL Auto Formula)</t>
  </si>
  <si>
    <t>WELDING - Part Welding (Tube parts joint)</t>
  </si>
  <si>
    <t>Weld Diameter (mm)</t>
  </si>
  <si>
    <t>No. of Beads (auto)</t>
  </si>
  <si>
    <t>Total Weld Length (mm)</t>
  </si>
  <si>
    <t>Welding Time (Hr)</t>
  </si>
  <si>
    <t>Labour Cost (Rs.)</t>
  </si>
  <si>
    <t>Wire Cost (Rs.)</t>
  </si>
  <si>
    <t>Total Welding Cost (Rs.)</t>
  </si>
  <si>
    <t>Deep Hole Drilling</t>
  </si>
  <si>
    <t>Vendor Cost (manual)</t>
  </si>
  <si>
    <t>Manual</t>
  </si>
  <si>
    <t>WELDING - CEC Welding</t>
  </si>
  <si>
    <t>SUBTOTAL - PROCESS &amp; VENDOR COST</t>
  </si>
  <si>
    <t>SECTION C2 - WELDING (HISPL Auto Formula)</t>
  </si>
  <si>
    <t>Total Process &amp; Vendor Cost / pc (Rs.)</t>
  </si>
  <si>
    <t>WELDING - Rod Eye Welding</t>
  </si>
  <si>
    <t>SECTION D - ADDITIONAL COST (Manual Entry)</t>
  </si>
  <si>
    <t>Additional Cost / pc (Rs.)</t>
  </si>
  <si>
    <t>SECTION E - COMPONENT COST SUMMARY</t>
  </si>
  <si>
    <t>Cost Head</t>
  </si>
  <si>
    <t>Rs. / pc</t>
  </si>
  <si>
    <t>WELDING - Rear Eye Welding</t>
  </si>
  <si>
    <t>Material Cost</t>
  </si>
  <si>
    <t>Process Cost</t>
  </si>
  <si>
    <t>Additional Cost</t>
  </si>
  <si>
    <t>TOTAL CAP END COVER COST / pc</t>
  </si>
  <si>
    <t>TOTAL CAP END COVER COST for Qty</t>
  </si>
  <si>
    <t>TOTAL PISTON ROD COST / pc</t>
  </si>
  <si>
    <t>TOTAL PISTON ROD COST for Qty</t>
  </si>
  <si>
    <t>TOTAL HEAD END COVER COST / pc</t>
  </si>
  <si>
    <t>TOTAL TUBE COST / pc</t>
  </si>
  <si>
    <t>TOTAL HEAD END COVER COST for Qty</t>
  </si>
  <si>
    <t>TOTAL TUBE COST for Qty</t>
  </si>
  <si>
    <t>GLAND - COSTING SHEET</t>
  </si>
  <si>
    <t>OD</t>
  </si>
  <si>
    <t>ID</t>
  </si>
  <si>
    <t>CUSHION BUSH - COSTING SHEET</t>
  </si>
  <si>
    <t>STOP TUBE - COSTING SHEET</t>
  </si>
  <si>
    <t>REAR EYE - COSTING SHEET</t>
  </si>
  <si>
    <t>IMPORTANT: Costed using SOLID ROUND raw material as per HISPL standard.</t>
  </si>
  <si>
    <t>MS-PLATE-IS2062</t>
  </si>
  <si>
    <t>Raw Plate Thickness</t>
  </si>
  <si>
    <t>MS-EN8</t>
  </si>
  <si>
    <t>Machined Width (mm)</t>
  </si>
  <si>
    <t>Pin Hole Diameter</t>
  </si>
  <si>
    <t>Machined Length (mm)</t>
  </si>
  <si>
    <t>Hole Diameter (mm)</t>
  </si>
  <si>
    <t>No. of Pin Holes</t>
  </si>
  <si>
    <t>Process Rate Master (Rs./kg)</t>
  </si>
  <si>
    <t>Grinding (ID bore)</t>
  </si>
  <si>
    <t>TOTAL CUSHION BUSH COST / pc</t>
  </si>
  <si>
    <t>TOTAL GLAND COST / pc</t>
  </si>
  <si>
    <t>TOTAL CUSHION BUSH COST for Qty</t>
  </si>
  <si>
    <t>TOTAL GLAND COST for Qty</t>
  </si>
  <si>
    <t>TOTAL STOP TUBE COST / pc</t>
  </si>
  <si>
    <t>TOTAL STOP TUBE COST for Qty</t>
  </si>
  <si>
    <t>TOTAL REAR EYE COST / pc</t>
  </si>
  <si>
    <t>TOTAL REAR EYE COST for Qty</t>
  </si>
  <si>
    <t>ROD EYE - COSTING SHEET</t>
  </si>
  <si>
    <t>FLANGE - COSTING SHEET</t>
  </si>
  <si>
    <t>PISTON - COSTING SHEET</t>
  </si>
  <si>
    <t>Only Outer Diameter and Length are taken for this component, per HISPL costing standard.</t>
  </si>
  <si>
    <t>TRUNNION - COSTING SHEET</t>
  </si>
  <si>
    <t>Costed as a rectangular block (Length x Width x Height). Rough Turning, Finish Turning and Pin Grinding are entered manually (Rs.); Milling and Drilling are auto-calculated as usual.</t>
  </si>
  <si>
    <t>Machined Width (mm) [Groove Milling]</t>
  </si>
  <si>
    <t>Machined Length (mm) [Groove Milling]</t>
  </si>
  <si>
    <t>Manual Entry</t>
  </si>
  <si>
    <t>Finished Turning</t>
  </si>
  <si>
    <t>Pin Grinding</t>
  </si>
  <si>
    <t>TOTAL PISTON COST / pc</t>
  </si>
  <si>
    <t>TOTAL PISTON COST for Qty</t>
  </si>
  <si>
    <t>TOTAL ROD EYE COST / pc</t>
  </si>
  <si>
    <t>TOTAL ROD EYE COST for Qty</t>
  </si>
  <si>
    <t>TOTAL FLANGE COST / pc</t>
  </si>
  <si>
    <t>TOTAL TRUNNION COST / pc</t>
  </si>
  <si>
    <t>TOTAL FLANGE COST for Qty</t>
  </si>
  <si>
    <t>TOTAL TRUNNION COST for Qty</t>
  </si>
  <si>
    <t>BOUGHT OUT ITEMS &amp; SEAL KIT MASTER</t>
  </si>
  <si>
    <t>Add bought-out items, seal kit components, and any other purchased part here. Set Include? = No to exclude an item without deleting it. All entries are manual.</t>
  </si>
  <si>
    <t>Item Description</t>
  </si>
  <si>
    <t>Category</t>
  </si>
  <si>
    <t>Include? (Yes/No)</t>
  </si>
  <si>
    <t>Qty</t>
  </si>
  <si>
    <t>Seal</t>
  </si>
  <si>
    <t>Seal Kit</t>
  </si>
  <si>
    <t>Enter total seal kit cost for this cylinder (piston seal + rod seal + wiper + O-rings, etc.)</t>
  </si>
  <si>
    <t>Bearing</t>
  </si>
  <si>
    <t>Bought Out</t>
  </si>
  <si>
    <t>Check Valve</t>
  </si>
  <si>
    <t>Transducer</t>
  </si>
  <si>
    <t>Position sensor / LVDT, if applicable</t>
  </si>
  <si>
    <t>Bellows</t>
  </si>
  <si>
    <t>Rod protection bellow, if applicable</t>
  </si>
  <si>
    <t>Other Component 1</t>
  </si>
  <si>
    <t>ASSEMBLY + PAINTING + PACKING</t>
  </si>
  <si>
    <t>Manual entry - rename as needed</t>
  </si>
  <si>
    <t>Other Component 2</t>
  </si>
  <si>
    <t>Finishing costs applied to the fully assembled cylinder. Painting/Packing use Process Rate Master; Assembly is labour-hour based.</t>
  </si>
  <si>
    <t>ASSEMBLY</t>
  </si>
  <si>
    <t>Other Component 3</t>
  </si>
  <si>
    <t>Assembly Labour Hours</t>
  </si>
  <si>
    <t>Assembly Labour Rate (Rs./Hr)</t>
  </si>
  <si>
    <t>Other Component 4</t>
  </si>
  <si>
    <t>Assembly Cost (Rs.)</t>
  </si>
  <si>
    <t>Other Component 5</t>
  </si>
  <si>
    <t>PAINTING</t>
  </si>
  <si>
    <t>TOTAL SEAL KIT COST (Rs.)</t>
  </si>
  <si>
    <t>Cylinder Outer Surface Area (cm2)</t>
  </si>
  <si>
    <t>PI() x OD x (Stroke+Bore) approx; enter measured/derived value</t>
  </si>
  <si>
    <t>TOTAL BOUGHT OUT COST (Rs.)</t>
  </si>
  <si>
    <t>Painting Rate (Rs./cm2)</t>
  </si>
  <si>
    <t>Painting Cost (Rs.)</t>
  </si>
  <si>
    <t>COST SUMMARY</t>
  </si>
  <si>
    <t>PACKING</t>
  </si>
  <si>
    <t>Cylinder Name:</t>
  </si>
  <si>
    <t>RECONDITIONING - COSTING SHEET</t>
  </si>
  <si>
    <t>Packing Type</t>
  </si>
  <si>
    <t>Wooden Box</t>
  </si>
  <si>
    <t>Used when the WHOLE cylinder job is a repair / overhaul rather than new manufacture. Replacement costs flow to Cost Summary only if included below.</t>
  </si>
  <si>
    <t>Total Cylinder Weight for Packing (kg)</t>
  </si>
  <si>
    <t>Include this Reconditioning Cost in Cost Summary?</t>
  </si>
  <si>
    <t>Inquiry No.:</t>
  </si>
  <si>
    <t>Pull from Cost Summary total weight or enter manually</t>
  </si>
  <si>
    <t>Packing Rate (Rs./kg)</t>
  </si>
  <si>
    <t>SECTION 1 - RECONDITIONING PROCESS COST (Manual / Rate Entry)</t>
  </si>
  <si>
    <t>COMPONENT COSTS (auto-pulled, Rs. for component Qty; each component sheet has its own New / Reconditioning selector)</t>
  </si>
  <si>
    <t>Component</t>
  </si>
  <si>
    <t>Tube</t>
  </si>
  <si>
    <t>Inspection</t>
  </si>
  <si>
    <t>Packing Cost (Rs.)</t>
  </si>
  <si>
    <t>Dismantling</t>
  </si>
  <si>
    <t>TOTAL</t>
  </si>
  <si>
    <t>Dechroming</t>
  </si>
  <si>
    <t>Piston Rod</t>
  </si>
  <si>
    <t>TOTAL ASSEMBLY + PAINTING + PACKING COST (Rs.)</t>
  </si>
  <si>
    <t>Rechroming</t>
  </si>
  <si>
    <t>Honing</t>
  </si>
  <si>
    <t>Cap End Cover</t>
  </si>
  <si>
    <t>Seal Replacement (Labour)</t>
  </si>
  <si>
    <t>Assembly</t>
  </si>
  <si>
    <t>Head End Cover</t>
  </si>
  <si>
    <t>Testing</t>
  </si>
  <si>
    <t>Gland</t>
  </si>
  <si>
    <t>SUBTOTAL - PROCESS COST</t>
  </si>
  <si>
    <t>Cushion Bush</t>
  </si>
  <si>
    <t>Stop Tube</t>
  </si>
  <si>
    <t>SECTION 2 - REPLACEMENT MATERIAL</t>
  </si>
  <si>
    <t>Component Replaced</t>
  </si>
  <si>
    <t>Rear Eye</t>
  </si>
  <si>
    <t>Rod Eye</t>
  </si>
  <si>
    <t>Rod</t>
  </si>
  <si>
    <t>Piston</t>
  </si>
  <si>
    <t>Flange</t>
  </si>
  <si>
    <t>Trunnion</t>
  </si>
  <si>
    <t>Rear Eye / Rod Eye</t>
  </si>
  <si>
    <t>SUBTOTAL - COMPONENT MANUFACTURING COST</t>
  </si>
  <si>
    <t>Bushes</t>
  </si>
  <si>
    <t>Additional Item 1</t>
  </si>
  <si>
    <t>CYLINDER WEIGHT (auto-summed from all component sheets)</t>
  </si>
  <si>
    <t>Additional Item 2</t>
  </si>
  <si>
    <t>Total Cylinder Weight (Nett, all components)</t>
  </si>
  <si>
    <t>SUBTOTAL - REPLACEMENT MATERIAL COST</t>
  </si>
  <si>
    <t>TOTAL RECONDITIONING COST</t>
  </si>
  <si>
    <t>ACTUAL COST TRACKER</t>
  </si>
  <si>
    <t>TOTAL RECONDITIONING COST (Rs.)</t>
  </si>
  <si>
    <t>Production team enters ACTUAL costs (yellow). Estimated values are pulled automatically from each component sheet. Variance is calculated automatically.</t>
  </si>
  <si>
    <t>Est. Material Cost</t>
  </si>
  <si>
    <t>Actual Material Cost</t>
  </si>
  <si>
    <t>Est. Process Cost</t>
  </si>
  <si>
    <t>kg</t>
  </si>
  <si>
    <t>Actual Process Cost</t>
  </si>
  <si>
    <t>Variance Rs.</t>
  </si>
  <si>
    <t>Weight Adjustment / Allowance (manual, e.g. paint, fittings)</t>
  </si>
  <si>
    <t>Variance %</t>
  </si>
  <si>
    <t>kg - optional manual add-on</t>
  </si>
  <si>
    <t>TOTAL CYLINDER WEIGHT (Rs. quoted on, for records)</t>
  </si>
  <si>
    <t>BOUGHT OUT / SEAL / FINISHING COSTS</t>
  </si>
  <si>
    <t>Seal Kit Cost</t>
  </si>
  <si>
    <t>Bought Out Items Cost</t>
  </si>
  <si>
    <t>Assembly Cost</t>
  </si>
  <si>
    <t>Painting Cost</t>
  </si>
  <si>
    <t>Packing Cost</t>
  </si>
  <si>
    <t>CYLINDER DATABASE (Historical Costing Records)</t>
  </si>
  <si>
    <t>SUBTOTAL - OTHER COSTS</t>
  </si>
  <si>
    <t>Row 5 auto-pulls the CURRENT job from Inquiry Input / Cost Summary / Actual Cost Tracker. Copy row 5, Paste Special &gt; Values into a new row below to permanently log this job to history.</t>
  </si>
  <si>
    <t>RECONDITIONING (whole-cylinder overhaul job - included only if flagged 'Yes' on Reconditioning sheet)</t>
  </si>
  <si>
    <t>Cylinder ID</t>
  </si>
  <si>
    <t>Inquiry No</t>
  </si>
  <si>
    <t>Reconditioning Cost</t>
  </si>
  <si>
    <t>Customer</t>
  </si>
  <si>
    <t>Cylinder Name</t>
  </si>
  <si>
    <t>Rod (mm)</t>
  </si>
  <si>
    <t>TOTAL MANUFACTURING COST</t>
  </si>
  <si>
    <t>Mounting</t>
  </si>
  <si>
    <t>Estimated Cost</t>
  </si>
  <si>
    <t>Quoted Price</t>
  </si>
  <si>
    <t>TOTAL MANUFACTURING COST (Rs.)</t>
  </si>
  <si>
    <t>Actual Cost</t>
  </si>
  <si>
    <t>Margin %</t>
  </si>
  <si>
    <t>Date</t>
  </si>
  <si>
    <t xml:space="preserve">ENQ NO </t>
  </si>
  <si>
    <t xml:space="preserve">COST SHEET NO </t>
  </si>
  <si>
    <t>DATE :</t>
  </si>
  <si>
    <t>CUSTOMER:</t>
  </si>
  <si>
    <t>CYLINDER TYPE</t>
  </si>
  <si>
    <t>SPECIFICATION :</t>
  </si>
  <si>
    <t xml:space="preserve">MATERIAL : </t>
  </si>
  <si>
    <t>(primary material - see component sheets for full BOM)</t>
  </si>
  <si>
    <t xml:space="preserve">WT OF CYLINDER : </t>
  </si>
  <si>
    <t>QTY :</t>
  </si>
  <si>
    <t>SL NO</t>
  </si>
  <si>
    <t>DESCRIPTION</t>
  </si>
  <si>
    <t>RATE</t>
  </si>
  <si>
    <t>REMARKS</t>
  </si>
  <si>
    <t>RAW MATERIAL COST</t>
  </si>
  <si>
    <t>PROCESS COST</t>
  </si>
  <si>
    <t>OVERALL ACTUAL COST ENTRY</t>
  </si>
  <si>
    <t>Actual Vendor Cost (Rs.)</t>
  </si>
  <si>
    <t>BOC</t>
  </si>
  <si>
    <t>Actual Welding Cost (Rs.)</t>
  </si>
  <si>
    <t>Quoted Price (column J) is entered manually once negotiated with the customer - no automatic profit % is applied anywhere in this workbook.</t>
  </si>
  <si>
    <t>Actual Assembly Cost (Rs.)</t>
  </si>
  <si>
    <t>Keep this Database sheet as your master job-history record. When you copy this workbook for a new cylinder job, you can remove this sheet from the per-job copy and keep it only in your master tracking file.</t>
  </si>
  <si>
    <t>Actual Total Manufacturing Cost (Rs.)</t>
  </si>
  <si>
    <t>SEALS COST</t>
  </si>
  <si>
    <t>Estimated Total Manufacturing Cost (Rs.)</t>
  </si>
  <si>
    <t xml:space="preserve"> PACKING,ASSLY,TESTING</t>
  </si>
  <si>
    <t>Overall Variance Rs.</t>
  </si>
  <si>
    <t>TOTAL / CYLINDER  COST</t>
  </si>
  <si>
    <t>Overall Variance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</si>
</sst>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Rs. &quot;#,##0"/>
    <numFmt numFmtId="165" formatCode="dd\-mmm\-yyyy"/>
    <numFmt numFmtId="166" formatCode="&quot;Rs. &quot;#,##0.00"/>
    <numFmt numFmtId="167" formatCode="0.000"/>
    <numFmt numFmtId="168" formatCode="0.0%"/>
  </numFmts>
  <fonts count="16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808080"/>
      <name val="Arial"/>
    </font>
    <font>
      <b/>
      <sz val="10.0"/>
      <color theme="1"/>
      <name val="Arial"/>
    </font>
    <font>
      <b/>
      <sz val="10.0"/>
      <color rgb="FF1F4E78"/>
      <name val="Arial"/>
    </font>
    <font>
      <b/>
      <sz val="11.0"/>
      <color rgb="FFFFFFFF"/>
      <name val="Arial"/>
    </font>
    <font>
      <sz val="10.0"/>
      <color rgb="FF0000FF"/>
      <name val="Arial"/>
    </font>
    <font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color theme="1"/>
      <name val="Calibri"/>
      <scheme val="minor"/>
    </font>
    <font>
      <sz val="10.0"/>
      <color rgb="FF008000"/>
      <name val="Arial"/>
    </font>
    <font>
      <b/>
      <sz val="11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C6E0B4"/>
        <bgColor rgb="FFC6E0B4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Border="1" applyFont="1"/>
    <xf borderId="1" fillId="2" fontId="1" numFmtId="0" xfId="0" applyAlignment="1" applyBorder="1" applyFont="1">
      <alignment horizontal="left" shrinkToFit="0" vertical="center" wrapText="0"/>
    </xf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4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left" shrinkToFit="0" vertical="center" wrapText="0"/>
    </xf>
    <xf borderId="4" fillId="5" fontId="7" numFmtId="0" xfId="0" applyAlignment="1" applyBorder="1" applyFill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5" fillId="3" fontId="5" numFmtId="0" xfId="0" applyAlignment="1" applyBorder="1" applyFont="1">
      <alignment shrinkToFit="0" vertical="bottom" wrapText="0"/>
    </xf>
    <xf borderId="4" fillId="5" fontId="7" numFmtId="164" xfId="0" applyAlignment="1" applyBorder="1" applyFont="1" applyNumberForma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3" fontId="5" numFmtId="0" xfId="0" applyAlignment="1" applyBorder="1" applyFont="1">
      <alignment horizontal="center" shrinkToFit="0" vertical="bottom" wrapText="1"/>
    </xf>
    <xf borderId="4" fillId="0" fontId="8" numFmtId="0" xfId="0" applyAlignment="1" applyBorder="1" applyFont="1">
      <alignment readingOrder="0" shrinkToFit="0" vertical="bottom" wrapText="0"/>
    </xf>
    <xf borderId="4" fillId="0" fontId="9" numFmtId="0" xfId="0" applyAlignment="1" applyBorder="1" applyFont="1">
      <alignment shrinkToFit="0" vertical="bottom" wrapText="0"/>
    </xf>
    <xf borderId="4" fillId="5" fontId="7" numFmtId="165" xfId="0" applyAlignment="1" applyBorder="1" applyFont="1" applyNumberFormat="1">
      <alignment shrinkToFit="0" vertical="bottom" wrapText="0"/>
    </xf>
    <xf borderId="4" fillId="5" fontId="7" numFmtId="2" xfId="0" applyAlignment="1" applyBorder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4" fillId="5" fontId="7" numFmtId="166" xfId="0" applyAlignment="1" applyBorder="1" applyFont="1" applyNumberFormat="1">
      <alignment shrinkToFit="0" vertical="bottom" wrapText="0"/>
    </xf>
    <xf borderId="4" fillId="6" fontId="3" numFmtId="0" xfId="0" applyAlignment="1" applyBorder="1" applyFill="1" applyFont="1">
      <alignment shrinkToFit="0" vertical="bottom" wrapText="0"/>
    </xf>
    <xf borderId="4" fillId="5" fontId="7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/>
    </xf>
    <xf borderId="4" fillId="5" fontId="7" numFmtId="167" xfId="0" applyAlignment="1" applyBorder="1" applyFont="1" applyNumberFormat="1">
      <alignment shrinkToFit="0" vertical="bottom" wrapText="0"/>
    </xf>
    <xf borderId="4" fillId="5" fontId="7" numFmtId="0" xfId="0" applyAlignment="1" applyBorder="1" applyFont="1">
      <alignment readingOrder="0" shrinkToFit="0" vertical="bottom" wrapText="0"/>
    </xf>
    <xf borderId="4" fillId="5" fontId="7" numFmtId="1" xfId="0" applyAlignment="1" applyBorder="1" applyFont="1" applyNumberFormat="1">
      <alignment shrinkToFit="0" vertical="bottom" wrapText="0"/>
    </xf>
    <xf borderId="4" fillId="0" fontId="12" numFmtId="2" xfId="0" applyAlignment="1" applyBorder="1" applyFont="1" applyNumberFormat="1">
      <alignment shrinkToFit="0" vertical="bottom" wrapText="0"/>
    </xf>
    <xf borderId="4" fillId="0" fontId="12" numFmtId="166" xfId="0" applyAlignment="1" applyBorder="1" applyFont="1" applyNumberFormat="1">
      <alignment shrinkToFit="0" vertical="bottom" wrapText="0"/>
    </xf>
    <xf borderId="4" fillId="7" fontId="13" numFmtId="167" xfId="0" applyAlignment="1" applyBorder="1" applyFill="1" applyFont="1" applyNumberFormat="1">
      <alignment shrinkToFit="0" vertical="bottom" wrapText="0"/>
    </xf>
    <xf borderId="4" fillId="0" fontId="9" numFmtId="167" xfId="0" applyAlignment="1" applyBorder="1" applyFont="1" applyNumberFormat="1">
      <alignment shrinkToFit="0" vertical="bottom" wrapText="0"/>
    </xf>
    <xf borderId="4" fillId="7" fontId="13" numFmtId="166" xfId="0" applyAlignment="1" applyBorder="1" applyFont="1" applyNumberFormat="1">
      <alignment shrinkToFit="0" vertical="bottom" wrapText="0"/>
    </xf>
    <xf borderId="4" fillId="0" fontId="9" numFmtId="166" xfId="0" applyAlignment="1" applyBorder="1" applyFont="1" applyNumberFormat="1">
      <alignment shrinkToFit="0" vertical="bottom" wrapText="0"/>
    </xf>
    <xf borderId="4" fillId="5" fontId="7" numFmtId="1" xfId="0" applyAlignment="1" applyBorder="1" applyFont="1" applyNumberForma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4" fillId="5" fontId="7" numFmtId="0" xfId="0" applyAlignment="1" applyBorder="1" applyFont="1">
      <alignment horizontal="center" readingOrder="0" shrinkToFit="0" vertical="bottom" wrapText="0"/>
    </xf>
    <xf borderId="4" fillId="0" fontId="9" numFmtId="1" xfId="0" applyAlignment="1" applyBorder="1" applyFont="1" applyNumberFormat="1">
      <alignment shrinkToFit="0" vertical="bottom" wrapText="0"/>
    </xf>
    <xf borderId="4" fillId="0" fontId="9" numFmtId="2" xfId="0" applyAlignment="1" applyBorder="1" applyFont="1" applyNumberFormat="1">
      <alignment shrinkToFit="0" vertical="bottom" wrapText="0"/>
    </xf>
    <xf borderId="4" fillId="5" fontId="9" numFmtId="166" xfId="0" applyAlignment="1" applyBorder="1" applyFont="1" applyNumberFormat="1">
      <alignment shrinkToFit="0" vertical="bottom" wrapText="0"/>
    </xf>
    <xf borderId="6" fillId="5" fontId="7" numFmtId="0" xfId="0" applyAlignment="1" applyBorder="1" applyFont="1">
      <alignment shrinkToFit="0" vertical="bottom" wrapText="0"/>
    </xf>
    <xf borderId="7" fillId="0" fontId="2" numFmtId="0" xfId="0" applyBorder="1" applyFont="1"/>
    <xf borderId="8" fillId="0" fontId="2" numFmtId="0" xfId="0" applyBorder="1" applyFont="1"/>
    <xf borderId="4" fillId="0" fontId="8" numFmtId="166" xfId="0" applyAlignment="1" applyBorder="1" applyFont="1" applyNumberFormat="1">
      <alignment shrinkToFit="0" vertical="bottom" wrapText="0"/>
    </xf>
    <xf borderId="4" fillId="0" fontId="12" numFmtId="167" xfId="0" applyAlignment="1" applyBorder="1" applyFont="1" applyNumberFormat="1">
      <alignment shrinkToFit="0" vertical="bottom" wrapText="0"/>
    </xf>
    <xf borderId="4" fillId="0" fontId="12" numFmtId="0" xfId="0" applyAlignment="1" applyBorder="1" applyFont="1">
      <alignment shrinkToFit="0" vertical="bottom" wrapText="0"/>
    </xf>
    <xf borderId="4" fillId="0" fontId="9" numFmtId="168" xfId="0" applyAlignment="1" applyBorder="1" applyFont="1" applyNumberFormat="1">
      <alignment shrinkToFit="0" vertical="bottom" wrapText="0"/>
    </xf>
    <xf borderId="5" fillId="7" fontId="8" numFmtId="0" xfId="0" applyAlignment="1" applyBorder="1" applyFont="1">
      <alignment shrinkToFit="0" vertical="bottom" wrapText="0"/>
    </xf>
    <xf borderId="4" fillId="7" fontId="12" numFmtId="0" xfId="0" applyAlignment="1" applyBorder="1" applyFont="1">
      <alignment shrinkToFit="0" vertical="bottom" wrapText="0"/>
    </xf>
    <xf borderId="4" fillId="7" fontId="12" numFmtId="166" xfId="0" applyAlignment="1" applyBorder="1" applyFont="1" applyNumberFormat="1">
      <alignment shrinkToFit="0" vertical="bottom" wrapText="0"/>
    </xf>
    <xf borderId="4" fillId="7" fontId="9" numFmtId="168" xfId="0" applyAlignment="1" applyBorder="1" applyFont="1" applyNumberFormat="1">
      <alignment shrinkToFit="0" vertical="bottom" wrapText="0"/>
    </xf>
    <xf borderId="9" fillId="0" fontId="14" numFmtId="0" xfId="0" applyAlignment="1" applyBorder="1" applyFont="1">
      <alignment horizontal="center" shrinkToFit="0" vertical="bottom" wrapText="0"/>
    </xf>
    <xf borderId="4" fillId="7" fontId="12" numFmtId="165" xfId="0" applyAlignment="1" applyBorder="1" applyFont="1" applyNumberFormat="1">
      <alignment shrinkToFit="0" vertical="bottom" wrapText="0"/>
    </xf>
    <xf borderId="9" fillId="0" fontId="12" numFmtId="0" xfId="0" applyAlignment="1" applyBorder="1" applyFont="1">
      <alignment shrinkToFit="0" vertical="bottom" wrapText="0"/>
    </xf>
    <xf borderId="9" fillId="5" fontId="7" numFmtId="0" xfId="0" applyAlignment="1" applyBorder="1" applyFont="1">
      <alignment shrinkToFit="0" vertical="bottom" wrapText="0"/>
    </xf>
    <xf borderId="9" fillId="0" fontId="12" numFmtId="165" xfId="0" applyAlignment="1" applyBorder="1" applyFont="1" applyNumberFormat="1">
      <alignment shrinkToFit="0" vertical="bottom" wrapText="0"/>
    </xf>
    <xf borderId="9" fillId="0" fontId="12" numFmtId="167" xfId="0" applyAlignment="1" applyBorder="1" applyFont="1" applyNumberFormat="1">
      <alignment shrinkToFit="0" vertical="bottom" wrapText="0"/>
    </xf>
    <xf borderId="9" fillId="5" fontId="7" numFmtId="1" xfId="0" applyAlignment="1" applyBorder="1" applyFont="1" applyNumberFormat="1">
      <alignment shrinkToFit="0" vertical="bottom" wrapText="0"/>
    </xf>
    <xf borderId="10" fillId="3" fontId="15" numFmtId="0" xfId="0" applyAlignment="1" applyBorder="1" applyFont="1">
      <alignment horizontal="center" shrinkToFit="0" vertical="bottom" wrapText="0"/>
    </xf>
    <xf borderId="9" fillId="0" fontId="14" numFmtId="0" xfId="0" applyAlignment="1" applyBorder="1" applyFont="1">
      <alignment shrinkToFit="0" vertical="bottom" wrapText="0"/>
    </xf>
    <xf borderId="9" fillId="0" fontId="9" numFmtId="166" xfId="0" applyAlignment="1" applyBorder="1" applyFont="1" applyNumberFormat="1">
      <alignment shrinkToFit="0" vertical="bottom" wrapText="0"/>
    </xf>
    <xf borderId="9" fillId="0" fontId="8" numFmtId="0" xfId="0" applyAlignment="1" applyBorder="1" applyFont="1">
      <alignment shrinkToFit="0" vertical="bottom" wrapText="0"/>
    </xf>
    <xf borderId="4" fillId="7" fontId="13" numFmtId="168" xfId="0" applyAlignment="1" applyBorder="1" applyFont="1" applyNumberFormat="1">
      <alignment shrinkToFit="0" vertical="bottom" wrapText="0"/>
    </xf>
    <xf borderId="10" fillId="0" fontId="8" numFmtId="0" xfId="0" applyAlignment="1" applyBorder="1" applyFont="1">
      <alignment shrinkToFit="0" vertical="bottom" wrapText="0"/>
    </xf>
    <xf borderId="10" fillId="0" fontId="15" numFmtId="0" xfId="0" applyAlignment="1" applyBorder="1" applyFont="1">
      <alignment shrinkToFit="0" vertical="bottom" wrapText="0"/>
    </xf>
    <xf borderId="10" fillId="0" fontId="15" numFmtId="166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26.0"/>
    <col customWidth="1" min="3" max="3" width="6.0"/>
    <col customWidth="1" min="4" max="5" width="26.0"/>
    <col customWidth="1" min="6" max="26" width="8.71"/>
  </cols>
  <sheetData>
    <row r="1" ht="21.75" customHeight="1">
      <c r="A1" s="3" t="s">
        <v>2</v>
      </c>
      <c r="B1" s="2"/>
      <c r="C1" s="2"/>
      <c r="D1" s="2"/>
      <c r="E1" s="4"/>
    </row>
    <row r="3">
      <c r="A3" s="6" t="s">
        <v>5</v>
      </c>
      <c r="B3" s="9" t="s">
        <v>11</v>
      </c>
    </row>
    <row r="4">
      <c r="A4" s="6" t="s">
        <v>19</v>
      </c>
      <c r="B4" s="17">
        <f>TODAY()</f>
        <v>46248</v>
      </c>
    </row>
    <row r="5">
      <c r="A5" s="6" t="s">
        <v>32</v>
      </c>
      <c r="B5" s="9" t="s">
        <v>36</v>
      </c>
    </row>
    <row r="6">
      <c r="A6" s="6" t="s">
        <v>38</v>
      </c>
      <c r="B6" s="9" t="s">
        <v>41</v>
      </c>
    </row>
    <row r="7">
      <c r="A7" s="6" t="s">
        <v>44</v>
      </c>
      <c r="B7" s="9" t="s">
        <v>46</v>
      </c>
    </row>
    <row r="8">
      <c r="A8" s="6" t="s">
        <v>49</v>
      </c>
      <c r="B8" s="9">
        <v>100.0</v>
      </c>
    </row>
    <row r="9">
      <c r="A9" s="6" t="s">
        <v>53</v>
      </c>
      <c r="B9" s="9">
        <v>56.0</v>
      </c>
    </row>
    <row r="10">
      <c r="A10" s="6" t="s">
        <v>56</v>
      </c>
      <c r="B10" s="9">
        <v>800.0</v>
      </c>
    </row>
    <row r="11">
      <c r="A11" s="6" t="s">
        <v>58</v>
      </c>
      <c r="B11" s="9" t="s">
        <v>60</v>
      </c>
    </row>
    <row r="12">
      <c r="A12" s="6" t="s">
        <v>62</v>
      </c>
      <c r="B12" s="9">
        <v>250.0</v>
      </c>
    </row>
    <row r="13">
      <c r="A13" s="6" t="s">
        <v>65</v>
      </c>
      <c r="B13" s="22" t="s">
        <v>69</v>
      </c>
    </row>
    <row r="15">
      <c r="A15" s="5" t="s">
        <v>73</v>
      </c>
    </row>
    <row r="16">
      <c r="A16" s="5" t="s">
        <v>75</v>
      </c>
    </row>
    <row r="17">
      <c r="A17" s="5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dataValidations>
    <dataValidation type="list" allowBlank="1" sqref="B13">
      <formula1>"Manufacturing,Reconditioning"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26.0"/>
    <col customWidth="1" min="3" max="4" width="16.0"/>
    <col customWidth="1" min="5" max="5" width="40.0"/>
    <col customWidth="1" min="6" max="26" width="8.71"/>
  </cols>
  <sheetData>
    <row r="1" ht="21.75" customHeight="1">
      <c r="A1" s="1" t="s">
        <v>0</v>
      </c>
      <c r="B1" s="2"/>
      <c r="C1" s="2"/>
      <c r="D1" s="2"/>
      <c r="E1" s="4"/>
    </row>
    <row r="2">
      <c r="A2" s="5" t="s">
        <v>9</v>
      </c>
    </row>
    <row r="3">
      <c r="A3" s="7" t="s">
        <v>10</v>
      </c>
      <c r="B3" s="7" t="s">
        <v>14</v>
      </c>
      <c r="C3" s="7" t="s">
        <v>16</v>
      </c>
      <c r="D3" s="7" t="s">
        <v>18</v>
      </c>
      <c r="E3" s="7" t="s">
        <v>20</v>
      </c>
    </row>
    <row r="4">
      <c r="A4" s="13" t="s">
        <v>22</v>
      </c>
      <c r="B4" s="16" t="s">
        <v>26</v>
      </c>
      <c r="C4" s="18">
        <v>7.85</v>
      </c>
      <c r="D4" s="20">
        <v>68.0</v>
      </c>
      <c r="E4" s="16" t="s">
        <v>39</v>
      </c>
    </row>
    <row r="5">
      <c r="A5" s="13" t="s">
        <v>42</v>
      </c>
      <c r="B5" s="16" t="s">
        <v>45</v>
      </c>
      <c r="C5" s="18">
        <v>7.85</v>
      </c>
      <c r="D5" s="20">
        <v>92.0</v>
      </c>
      <c r="E5" s="16" t="s">
        <v>51</v>
      </c>
    </row>
    <row r="6">
      <c r="A6" s="13" t="s">
        <v>55</v>
      </c>
      <c r="B6" s="16" t="s">
        <v>57</v>
      </c>
      <c r="C6" s="18">
        <v>7.85</v>
      </c>
      <c r="D6" s="20">
        <v>118.0</v>
      </c>
      <c r="E6" s="16" t="s">
        <v>59</v>
      </c>
    </row>
    <row r="7">
      <c r="A7" s="13" t="s">
        <v>61</v>
      </c>
      <c r="B7" s="16" t="s">
        <v>63</v>
      </c>
      <c r="C7" s="18">
        <v>7.85</v>
      </c>
      <c r="D7" s="20">
        <v>66.0</v>
      </c>
      <c r="E7" s="16" t="s">
        <v>66</v>
      </c>
    </row>
    <row r="8">
      <c r="A8" s="13" t="s">
        <v>67</v>
      </c>
      <c r="B8" s="16" t="s">
        <v>68</v>
      </c>
      <c r="C8" s="18">
        <v>7.85</v>
      </c>
      <c r="D8" s="20">
        <v>78.0</v>
      </c>
      <c r="E8" s="16" t="s">
        <v>70</v>
      </c>
    </row>
    <row r="9">
      <c r="A9" s="16" t="s">
        <v>72</v>
      </c>
      <c r="B9" s="16" t="s">
        <v>74</v>
      </c>
      <c r="C9" s="18">
        <v>7.7</v>
      </c>
      <c r="D9" s="20">
        <v>210.0</v>
      </c>
      <c r="E9" s="16" t="s">
        <v>76</v>
      </c>
    </row>
    <row r="10">
      <c r="A10" s="16" t="s">
        <v>78</v>
      </c>
      <c r="B10" s="16" t="s">
        <v>79</v>
      </c>
      <c r="C10" s="18">
        <v>8.9</v>
      </c>
      <c r="D10" s="20">
        <v>520.0</v>
      </c>
      <c r="E10" s="16" t="s">
        <v>81</v>
      </c>
    </row>
    <row r="11">
      <c r="A11" s="13" t="s">
        <v>84</v>
      </c>
      <c r="B11" s="16" t="s">
        <v>85</v>
      </c>
      <c r="C11" s="18">
        <v>7.85</v>
      </c>
      <c r="D11" s="20">
        <v>96.0</v>
      </c>
      <c r="E11" s="16" t="s">
        <v>86</v>
      </c>
    </row>
    <row r="12">
      <c r="A12" s="13" t="s">
        <v>87</v>
      </c>
      <c r="B12" s="16" t="s">
        <v>88</v>
      </c>
      <c r="C12" s="18">
        <v>7.85</v>
      </c>
      <c r="D12" s="20">
        <v>62.0</v>
      </c>
      <c r="E12" s="16" t="s">
        <v>89</v>
      </c>
    </row>
    <row r="13">
      <c r="A13" s="23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8.0"/>
    <col customWidth="1" min="3" max="3" width="40.0"/>
    <col customWidth="1" min="4" max="26" width="8.71"/>
  </cols>
  <sheetData>
    <row r="1" ht="21.75" customHeight="1">
      <c r="A1" s="1" t="s">
        <v>1</v>
      </c>
      <c r="B1" s="2"/>
      <c r="C1" s="4"/>
    </row>
    <row r="2">
      <c r="A2" s="5" t="s">
        <v>4</v>
      </c>
    </row>
    <row r="3">
      <c r="A3" s="7" t="s">
        <v>7</v>
      </c>
      <c r="B3" s="7" t="s">
        <v>12</v>
      </c>
      <c r="C3" s="7" t="s">
        <v>13</v>
      </c>
    </row>
    <row r="4">
      <c r="A4" s="10" t="s">
        <v>15</v>
      </c>
      <c r="B4" s="12">
        <v>550.0</v>
      </c>
      <c r="C4" s="5" t="s">
        <v>24</v>
      </c>
    </row>
    <row r="5">
      <c r="A5" s="15" t="s">
        <v>25</v>
      </c>
      <c r="B5" s="12">
        <v>500.0</v>
      </c>
      <c r="C5" s="5" t="s">
        <v>29</v>
      </c>
    </row>
    <row r="6">
      <c r="A6" s="10" t="s">
        <v>31</v>
      </c>
      <c r="B6" s="12">
        <v>350.0</v>
      </c>
      <c r="C6" s="5" t="s">
        <v>34</v>
      </c>
    </row>
    <row r="7">
      <c r="A7" s="10" t="s">
        <v>35</v>
      </c>
      <c r="B7" s="12">
        <v>250.0</v>
      </c>
      <c r="C7" s="5" t="s">
        <v>37</v>
      </c>
    </row>
    <row r="8">
      <c r="A8" s="10" t="s">
        <v>40</v>
      </c>
      <c r="B8" s="12">
        <v>450.0</v>
      </c>
      <c r="C8" s="5" t="s">
        <v>43</v>
      </c>
    </row>
    <row r="9">
      <c r="A9" s="10" t="s">
        <v>47</v>
      </c>
      <c r="B9" s="12">
        <v>400.0</v>
      </c>
      <c r="C9" s="5" t="s">
        <v>48</v>
      </c>
    </row>
    <row r="10">
      <c r="A10" s="10" t="s">
        <v>50</v>
      </c>
      <c r="B10" s="12">
        <v>350.0</v>
      </c>
      <c r="C10" s="5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6" width="14.0"/>
    <col customWidth="1" min="7" max="26" width="8.71"/>
  </cols>
  <sheetData>
    <row r="1" ht="21.75" customHeight="1">
      <c r="A1" s="3" t="s">
        <v>3</v>
      </c>
      <c r="B1" s="2"/>
      <c r="C1" s="2"/>
      <c r="D1" s="2"/>
      <c r="E1" s="2"/>
      <c r="F1" s="4"/>
    </row>
    <row r="2">
      <c r="A2" s="5" t="s">
        <v>6</v>
      </c>
    </row>
    <row r="4">
      <c r="A4" s="8" t="s">
        <v>8</v>
      </c>
      <c r="B4" s="2"/>
      <c r="C4" s="2"/>
      <c r="D4" s="2"/>
      <c r="E4" s="2"/>
      <c r="F4" s="4"/>
    </row>
    <row r="5">
      <c r="A5" s="11" t="s">
        <v>17</v>
      </c>
      <c r="B5" s="11" t="s">
        <v>21</v>
      </c>
      <c r="C5" s="14" t="s">
        <v>23</v>
      </c>
      <c r="D5" s="14" t="s">
        <v>27</v>
      </c>
      <c r="E5" s="14" t="s">
        <v>28</v>
      </c>
      <c r="F5" s="14" t="s">
        <v>30</v>
      </c>
    </row>
    <row r="6">
      <c r="B6" s="19" t="s">
        <v>33</v>
      </c>
      <c r="C6" s="21">
        <v>0.0</v>
      </c>
      <c r="D6" s="21">
        <v>501.0</v>
      </c>
      <c r="E6" s="21">
        <v>1001.0</v>
      </c>
      <c r="F6" s="21">
        <v>2001.0</v>
      </c>
    </row>
    <row r="7">
      <c r="A7" s="21">
        <v>0.0</v>
      </c>
      <c r="B7" s="10" t="s">
        <v>52</v>
      </c>
      <c r="C7" s="18">
        <v>0.08</v>
      </c>
      <c r="D7" s="18">
        <v>0.1</v>
      </c>
      <c r="E7" s="18">
        <v>0.15</v>
      </c>
      <c r="F7" s="18">
        <v>0.2</v>
      </c>
    </row>
    <row r="8">
      <c r="A8" s="21">
        <v>81.0</v>
      </c>
      <c r="B8" s="10" t="s">
        <v>64</v>
      </c>
      <c r="C8" s="18">
        <v>0.1</v>
      </c>
      <c r="D8" s="18">
        <v>0.15</v>
      </c>
      <c r="E8" s="18">
        <v>0.2</v>
      </c>
      <c r="F8" s="18">
        <v>0.3</v>
      </c>
    </row>
    <row r="9">
      <c r="A9" s="21">
        <v>151.0</v>
      </c>
      <c r="B9" s="10" t="s">
        <v>71</v>
      </c>
      <c r="C9" s="18">
        <v>0.15</v>
      </c>
      <c r="D9" s="18">
        <v>0.2</v>
      </c>
      <c r="E9" s="18">
        <v>0.3</v>
      </c>
      <c r="F9" s="18">
        <v>0.4</v>
      </c>
    </row>
    <row r="10">
      <c r="A10" s="21">
        <v>251.0</v>
      </c>
      <c r="B10" s="10" t="s">
        <v>77</v>
      </c>
      <c r="C10" s="18">
        <v>0.25</v>
      </c>
      <c r="D10" s="18">
        <v>0.35</v>
      </c>
      <c r="E10" s="18">
        <v>0.5</v>
      </c>
      <c r="F10" s="18">
        <v>0.7</v>
      </c>
    </row>
    <row r="12">
      <c r="A12" s="8" t="s">
        <v>82</v>
      </c>
      <c r="B12" s="2"/>
      <c r="C12" s="2"/>
      <c r="D12" s="2"/>
      <c r="E12" s="2"/>
      <c r="F12" s="4"/>
    </row>
    <row r="13">
      <c r="A13" s="11" t="s">
        <v>17</v>
      </c>
      <c r="B13" s="11" t="s">
        <v>83</v>
      </c>
      <c r="C13" s="14" t="s">
        <v>23</v>
      </c>
      <c r="D13" s="14" t="s">
        <v>27</v>
      </c>
      <c r="E13" s="14" t="s">
        <v>28</v>
      </c>
      <c r="F13" s="14" t="s">
        <v>30</v>
      </c>
    </row>
    <row r="14">
      <c r="B14" s="19" t="s">
        <v>33</v>
      </c>
      <c r="C14" s="21">
        <v>0.0</v>
      </c>
      <c r="D14" s="21">
        <v>501.0</v>
      </c>
      <c r="E14" s="21">
        <v>1001.0</v>
      </c>
      <c r="F14" s="21">
        <v>2001.0</v>
      </c>
    </row>
    <row r="15">
      <c r="A15" s="21">
        <v>0.0</v>
      </c>
      <c r="B15" s="10" t="s">
        <v>52</v>
      </c>
      <c r="C15" s="18">
        <v>0.3</v>
      </c>
      <c r="D15" s="18">
        <v>0.6</v>
      </c>
      <c r="E15" s="18">
        <v>1.2</v>
      </c>
      <c r="F15" s="18">
        <v>1.8</v>
      </c>
    </row>
    <row r="16">
      <c r="A16" s="21">
        <v>81.0</v>
      </c>
      <c r="B16" s="10" t="s">
        <v>64</v>
      </c>
      <c r="C16" s="18">
        <v>0.5</v>
      </c>
      <c r="D16" s="18">
        <v>0.9</v>
      </c>
      <c r="E16" s="18">
        <v>1.7</v>
      </c>
      <c r="F16" s="18">
        <v>2.5</v>
      </c>
    </row>
    <row r="17">
      <c r="A17" s="21">
        <v>151.0</v>
      </c>
      <c r="B17" s="10" t="s">
        <v>71</v>
      </c>
      <c r="C17" s="18">
        <v>0.8</v>
      </c>
      <c r="D17" s="18">
        <v>1.5</v>
      </c>
      <c r="E17" s="18">
        <v>2.8</v>
      </c>
      <c r="F17" s="18">
        <v>4.0</v>
      </c>
    </row>
    <row r="18">
      <c r="A18" s="21">
        <v>251.0</v>
      </c>
      <c r="B18" s="10" t="s">
        <v>77</v>
      </c>
      <c r="C18" s="18">
        <v>1.2</v>
      </c>
      <c r="D18" s="18">
        <v>2.2</v>
      </c>
      <c r="E18" s="18">
        <v>4.0</v>
      </c>
      <c r="F18" s="18">
        <v>6.0</v>
      </c>
    </row>
    <row r="20">
      <c r="A20" s="8" t="s">
        <v>91</v>
      </c>
      <c r="B20" s="2"/>
      <c r="C20" s="2"/>
      <c r="D20" s="4"/>
    </row>
    <row r="21" ht="15.75" customHeight="1">
      <c r="A21" s="7" t="s">
        <v>92</v>
      </c>
      <c r="B21" s="7" t="s">
        <v>93</v>
      </c>
      <c r="C21" s="7" t="s">
        <v>94</v>
      </c>
      <c r="D21" s="7"/>
    </row>
    <row r="22" ht="15.75" customHeight="1">
      <c r="A22" s="21">
        <v>0.0</v>
      </c>
      <c r="B22" s="10" t="s">
        <v>95</v>
      </c>
      <c r="C22" s="18">
        <v>1.0</v>
      </c>
    </row>
    <row r="23" ht="15.75" customHeight="1">
      <c r="A23" s="21">
        <v>2.0001</v>
      </c>
      <c r="B23" s="10" t="s">
        <v>96</v>
      </c>
      <c r="C23" s="18">
        <v>1.15</v>
      </c>
    </row>
    <row r="24" ht="15.75" customHeight="1">
      <c r="A24" s="21">
        <v>5.0001</v>
      </c>
      <c r="B24" s="10" t="s">
        <v>97</v>
      </c>
      <c r="C24" s="18">
        <v>1.35</v>
      </c>
    </row>
    <row r="25" ht="15.75" customHeight="1">
      <c r="A25" s="21">
        <v>10.0001</v>
      </c>
      <c r="B25" s="10" t="s">
        <v>98</v>
      </c>
      <c r="C25" s="18">
        <v>1.6</v>
      </c>
    </row>
    <row r="26" ht="15.75" customHeight="1"/>
    <row r="27" ht="15.75" customHeight="1">
      <c r="A27" s="5" t="s">
        <v>99</v>
      </c>
    </row>
    <row r="28" ht="15.75" customHeight="1"/>
    <row r="29" ht="15.75" customHeight="1">
      <c r="A29" s="8" t="s">
        <v>100</v>
      </c>
      <c r="B29" s="2"/>
      <c r="C29" s="2"/>
      <c r="D29" s="2"/>
      <c r="E29" s="2"/>
      <c r="F29" s="4"/>
    </row>
    <row r="30" ht="15.75" customHeight="1">
      <c r="A30" s="11" t="s">
        <v>17</v>
      </c>
      <c r="B30" s="11" t="s">
        <v>101</v>
      </c>
      <c r="C30" s="14" t="s">
        <v>102</v>
      </c>
      <c r="D30" s="14" t="s">
        <v>103</v>
      </c>
      <c r="E30" s="14" t="s">
        <v>27</v>
      </c>
      <c r="F30" s="14" t="s">
        <v>28</v>
      </c>
    </row>
    <row r="31" ht="15.75" customHeight="1">
      <c r="B31" s="19" t="s">
        <v>33</v>
      </c>
      <c r="C31" s="21">
        <v>0.0</v>
      </c>
      <c r="D31" s="21">
        <v>251.0</v>
      </c>
      <c r="E31" s="21">
        <v>501.0</v>
      </c>
      <c r="F31" s="21">
        <v>1001.0</v>
      </c>
    </row>
    <row r="32" ht="15.75" customHeight="1">
      <c r="A32" s="21">
        <v>0.0</v>
      </c>
      <c r="B32" s="10" t="s">
        <v>52</v>
      </c>
      <c r="C32" s="18">
        <v>0.25</v>
      </c>
      <c r="D32" s="18">
        <v>0.4</v>
      </c>
      <c r="E32" s="18">
        <v>0.7</v>
      </c>
      <c r="F32" s="18">
        <v>1.2</v>
      </c>
    </row>
    <row r="33" ht="15.75" customHeight="1">
      <c r="A33" s="21">
        <v>81.0</v>
      </c>
      <c r="B33" s="10" t="s">
        <v>64</v>
      </c>
      <c r="C33" s="18">
        <v>0.4</v>
      </c>
      <c r="D33" s="18">
        <v>0.7</v>
      </c>
      <c r="E33" s="18">
        <v>1.2</v>
      </c>
      <c r="F33" s="18">
        <v>2.0</v>
      </c>
    </row>
    <row r="34" ht="15.75" customHeight="1">
      <c r="A34" s="21">
        <v>151.0</v>
      </c>
      <c r="B34" s="10" t="s">
        <v>71</v>
      </c>
      <c r="C34" s="18">
        <v>0.7</v>
      </c>
      <c r="D34" s="18">
        <v>1.2</v>
      </c>
      <c r="E34" s="18">
        <v>2.2</v>
      </c>
      <c r="F34" s="18">
        <v>3.5</v>
      </c>
    </row>
    <row r="35" ht="15.75" customHeight="1">
      <c r="A35" s="21">
        <v>251.0</v>
      </c>
      <c r="B35" s="10" t="s">
        <v>77</v>
      </c>
      <c r="C35" s="18">
        <v>1.2</v>
      </c>
      <c r="D35" s="18">
        <v>2.0</v>
      </c>
      <c r="E35" s="18">
        <v>3.5</v>
      </c>
      <c r="F35" s="18">
        <v>5.5</v>
      </c>
    </row>
    <row r="36" ht="15.75" customHeight="1"/>
    <row r="37" ht="15.75" customHeight="1">
      <c r="A37" s="8" t="s">
        <v>115</v>
      </c>
      <c r="B37" s="2"/>
      <c r="C37" s="2"/>
      <c r="D37" s="2"/>
      <c r="E37" s="2"/>
      <c r="F37" s="4"/>
    </row>
    <row r="38" ht="15.75" customHeight="1">
      <c r="A38" s="11" t="s">
        <v>17</v>
      </c>
      <c r="B38" s="11" t="s">
        <v>101</v>
      </c>
      <c r="C38" s="14" t="s">
        <v>23</v>
      </c>
      <c r="D38" s="14" t="s">
        <v>27</v>
      </c>
      <c r="E38" s="14" t="s">
        <v>28</v>
      </c>
    </row>
    <row r="39" ht="15.75" customHeight="1">
      <c r="B39" s="19" t="s">
        <v>33</v>
      </c>
      <c r="C39" s="21">
        <v>0.0</v>
      </c>
      <c r="D39" s="21">
        <v>501.0</v>
      </c>
      <c r="E39" s="21">
        <v>1001.0</v>
      </c>
    </row>
    <row r="40" ht="15.75" customHeight="1">
      <c r="A40" s="21">
        <v>0.0</v>
      </c>
      <c r="B40" s="10" t="s">
        <v>52</v>
      </c>
      <c r="C40" s="18">
        <v>0.3</v>
      </c>
      <c r="D40" s="18">
        <v>0.6</v>
      </c>
      <c r="E40" s="18">
        <v>1.2</v>
      </c>
    </row>
    <row r="41" ht="15.75" customHeight="1">
      <c r="A41" s="21">
        <v>81.0</v>
      </c>
      <c r="B41" s="10" t="s">
        <v>64</v>
      </c>
      <c r="C41" s="18">
        <v>0.5</v>
      </c>
      <c r="D41" s="18">
        <v>0.9</v>
      </c>
      <c r="E41" s="18">
        <v>1.6</v>
      </c>
    </row>
    <row r="42" ht="15.75" customHeight="1">
      <c r="A42" s="21">
        <v>151.0</v>
      </c>
      <c r="B42" s="10" t="s">
        <v>71</v>
      </c>
      <c r="C42" s="18">
        <v>0.8</v>
      </c>
      <c r="D42" s="18">
        <v>1.4</v>
      </c>
      <c r="E42" s="18">
        <v>2.4</v>
      </c>
    </row>
    <row r="43" ht="15.75" customHeight="1">
      <c r="A43" s="21">
        <v>251.0</v>
      </c>
      <c r="B43" s="10" t="s">
        <v>77</v>
      </c>
      <c r="C43" s="18">
        <v>1.2</v>
      </c>
      <c r="D43" s="18">
        <v>2.0</v>
      </c>
      <c r="E43" s="18">
        <v>3.5</v>
      </c>
    </row>
    <row r="44" ht="15.75" customHeight="1"/>
    <row r="45" ht="15.75" customHeight="1">
      <c r="A45" s="8" t="s">
        <v>131</v>
      </c>
      <c r="B45" s="2"/>
      <c r="C45" s="2"/>
      <c r="D45" s="2"/>
      <c r="E45" s="2"/>
      <c r="F45" s="4"/>
    </row>
    <row r="46" ht="15.75" customHeight="1">
      <c r="A46" s="5" t="s">
        <v>137</v>
      </c>
    </row>
    <row r="47" ht="15.75" customHeight="1">
      <c r="A47" s="11" t="s">
        <v>17</v>
      </c>
      <c r="B47" s="11" t="s">
        <v>21</v>
      </c>
      <c r="C47" s="14" t="s">
        <v>23</v>
      </c>
      <c r="D47" s="14" t="s">
        <v>27</v>
      </c>
      <c r="E47" s="14" t="s">
        <v>28</v>
      </c>
    </row>
    <row r="48" ht="15.75" customHeight="1">
      <c r="B48" s="19" t="s">
        <v>33</v>
      </c>
      <c r="C48" s="21">
        <v>0.0</v>
      </c>
      <c r="D48" s="21">
        <v>501.0</v>
      </c>
      <c r="E48" s="21">
        <v>1001.0</v>
      </c>
    </row>
    <row r="49" ht="15.75" customHeight="1">
      <c r="A49" s="21">
        <v>0.0</v>
      </c>
      <c r="B49" s="10" t="s">
        <v>52</v>
      </c>
      <c r="C49" s="18">
        <v>0.3</v>
      </c>
      <c r="D49" s="18">
        <v>0.5</v>
      </c>
      <c r="E49" s="18">
        <v>0.9</v>
      </c>
    </row>
    <row r="50" ht="15.75" customHeight="1">
      <c r="A50" s="21">
        <v>81.0</v>
      </c>
      <c r="B50" s="10" t="s">
        <v>64</v>
      </c>
      <c r="C50" s="18">
        <v>0.5</v>
      </c>
      <c r="D50" s="18">
        <v>0.8</v>
      </c>
      <c r="E50" s="18">
        <v>1.4</v>
      </c>
    </row>
    <row r="51" ht="15.75" customHeight="1">
      <c r="A51" s="21">
        <v>151.0</v>
      </c>
      <c r="B51" s="10" t="s">
        <v>71</v>
      </c>
      <c r="C51" s="18">
        <v>0.8</v>
      </c>
      <c r="D51" s="18">
        <v>1.3</v>
      </c>
      <c r="E51" s="18">
        <v>2.2</v>
      </c>
    </row>
    <row r="52" ht="15.75" customHeight="1">
      <c r="A52" s="21">
        <v>251.0</v>
      </c>
      <c r="B52" s="10" t="s">
        <v>77</v>
      </c>
      <c r="C52" s="18">
        <v>1.2</v>
      </c>
      <c r="D52" s="18">
        <v>2.0</v>
      </c>
      <c r="E52" s="18">
        <v>3.2</v>
      </c>
    </row>
    <row r="53" ht="15.75" customHeight="1"/>
    <row r="54" ht="15.75" customHeight="1">
      <c r="A54" s="8" t="s">
        <v>159</v>
      </c>
      <c r="B54" s="2"/>
      <c r="C54" s="2"/>
      <c r="D54" s="4"/>
    </row>
    <row r="55" ht="15.75" customHeight="1">
      <c r="A55" s="7" t="s">
        <v>92</v>
      </c>
      <c r="B55" s="7" t="s">
        <v>163</v>
      </c>
      <c r="C55" s="7" t="s">
        <v>164</v>
      </c>
      <c r="D55" s="7"/>
    </row>
    <row r="56" ht="15.75" customHeight="1">
      <c r="A56" s="21">
        <v>0.0</v>
      </c>
      <c r="B56" s="10" t="s">
        <v>165</v>
      </c>
      <c r="C56" s="24">
        <v>0.3</v>
      </c>
    </row>
    <row r="57" ht="15.75" customHeight="1">
      <c r="A57" s="21">
        <v>10001.0</v>
      </c>
      <c r="B57" s="10" t="s">
        <v>167</v>
      </c>
      <c r="C57" s="24">
        <v>0.6</v>
      </c>
    </row>
    <row r="58" ht="15.75" customHeight="1">
      <c r="A58" s="21">
        <v>25001.0</v>
      </c>
      <c r="B58" s="10" t="s">
        <v>168</v>
      </c>
      <c r="C58" s="24">
        <v>1.0</v>
      </c>
    </row>
    <row r="59" ht="15.75" customHeight="1">
      <c r="A59" s="21">
        <v>50001.0</v>
      </c>
      <c r="B59" s="10" t="s">
        <v>170</v>
      </c>
      <c r="C59" s="24">
        <v>1.8</v>
      </c>
    </row>
    <row r="60" ht="15.75" customHeight="1"/>
    <row r="61" ht="15.75" customHeight="1">
      <c r="A61" s="8" t="s">
        <v>172</v>
      </c>
      <c r="B61" s="2"/>
      <c r="C61" s="2"/>
      <c r="D61" s="4"/>
    </row>
    <row r="62" ht="15.75" customHeight="1">
      <c r="A62" s="7" t="s">
        <v>92</v>
      </c>
      <c r="B62" s="7" t="s">
        <v>173</v>
      </c>
      <c r="C62" s="7" t="s">
        <v>174</v>
      </c>
      <c r="D62" s="7"/>
    </row>
    <row r="63" ht="15.75" customHeight="1">
      <c r="A63" s="21">
        <v>0.0</v>
      </c>
      <c r="B63" s="10" t="s">
        <v>176</v>
      </c>
      <c r="C63" s="24">
        <v>0.03</v>
      </c>
    </row>
    <row r="64" ht="15.75" customHeight="1">
      <c r="A64" s="21">
        <v>11.0</v>
      </c>
      <c r="B64" s="10" t="s">
        <v>177</v>
      </c>
      <c r="C64" s="24">
        <v>0.05</v>
      </c>
    </row>
    <row r="65" ht="15.75" customHeight="1">
      <c r="A65" s="21">
        <v>21.0</v>
      </c>
      <c r="B65" s="10" t="s">
        <v>178</v>
      </c>
      <c r="C65" s="24">
        <v>0.08</v>
      </c>
    </row>
    <row r="66" ht="15.75" customHeight="1">
      <c r="A66" s="21">
        <v>31.0</v>
      </c>
      <c r="B66" s="10" t="s">
        <v>179</v>
      </c>
      <c r="C66" s="24">
        <v>0.12</v>
      </c>
    </row>
    <row r="67" ht="15.75" customHeight="1"/>
    <row r="68" ht="15.75" customHeight="1">
      <c r="A68" s="8" t="s">
        <v>180</v>
      </c>
      <c r="B68" s="2"/>
      <c r="C68" s="2"/>
      <c r="D68" s="4"/>
    </row>
    <row r="69" ht="15.75" customHeight="1">
      <c r="A69" s="5" t="s">
        <v>181</v>
      </c>
    </row>
    <row r="70" ht="15.75" customHeight="1">
      <c r="A70" s="7" t="s">
        <v>92</v>
      </c>
      <c r="B70" s="7" t="s">
        <v>183</v>
      </c>
      <c r="C70" s="7" t="s">
        <v>164</v>
      </c>
      <c r="D70" s="7"/>
    </row>
    <row r="71" ht="15.75" customHeight="1">
      <c r="A71" s="21">
        <v>0.0</v>
      </c>
      <c r="B71" s="10" t="s">
        <v>176</v>
      </c>
      <c r="C71" s="24">
        <v>0.1</v>
      </c>
    </row>
    <row r="72" ht="15.75" customHeight="1">
      <c r="A72" s="21">
        <v>11.0</v>
      </c>
      <c r="B72" s="10" t="s">
        <v>185</v>
      </c>
      <c r="C72" s="24">
        <v>0.2</v>
      </c>
    </row>
    <row r="73" ht="15.75" customHeight="1">
      <c r="A73" s="21">
        <v>26.0</v>
      </c>
      <c r="B73" s="10" t="s">
        <v>186</v>
      </c>
      <c r="C73" s="24">
        <v>0.35</v>
      </c>
    </row>
    <row r="74" ht="15.75" customHeight="1">
      <c r="A74" s="21">
        <v>51.0</v>
      </c>
      <c r="B74" s="10" t="s">
        <v>188</v>
      </c>
      <c r="C74" s="24">
        <v>0.6</v>
      </c>
    </row>
    <row r="75" ht="15.75" customHeight="1"/>
    <row r="76" ht="15.75" customHeight="1">
      <c r="A76" s="8" t="s">
        <v>189</v>
      </c>
      <c r="B76" s="2"/>
      <c r="C76" s="2"/>
      <c r="D76" s="2"/>
      <c r="E76" s="2"/>
      <c r="F76" s="4"/>
    </row>
    <row r="77" ht="15.75" customHeight="1">
      <c r="A77" s="7" t="s">
        <v>106</v>
      </c>
      <c r="B77" s="7" t="s">
        <v>190</v>
      </c>
      <c r="C77" s="7"/>
      <c r="D77" s="7"/>
    </row>
    <row r="78" ht="15.75" customHeight="1">
      <c r="A78" s="10" t="s">
        <v>192</v>
      </c>
      <c r="B78" s="5" t="s">
        <v>194</v>
      </c>
    </row>
    <row r="79" ht="15.75" customHeight="1">
      <c r="A79" s="10" t="s">
        <v>195</v>
      </c>
      <c r="B79" s="5" t="s">
        <v>196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54:D54"/>
    <mergeCell ref="A61:D61"/>
    <mergeCell ref="A68:D68"/>
    <mergeCell ref="A76:F76"/>
    <mergeCell ref="A1:F1"/>
    <mergeCell ref="A4:F4"/>
    <mergeCell ref="A12:F12"/>
    <mergeCell ref="A20:D20"/>
    <mergeCell ref="A29:F29"/>
    <mergeCell ref="A37:F37"/>
    <mergeCell ref="A45:F4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3" width="14.0"/>
    <col customWidth="1" min="4" max="4" width="40.0"/>
    <col customWidth="1" min="5" max="26" width="8.71"/>
  </cols>
  <sheetData>
    <row r="1" ht="21.75" customHeight="1">
      <c r="A1" s="3" t="s">
        <v>104</v>
      </c>
      <c r="B1" s="2"/>
      <c r="C1" s="2"/>
      <c r="D1" s="4"/>
    </row>
    <row r="2">
      <c r="A2" s="5" t="s">
        <v>105</v>
      </c>
    </row>
    <row r="3">
      <c r="A3" s="7" t="s">
        <v>106</v>
      </c>
      <c r="B3" s="7" t="s">
        <v>107</v>
      </c>
      <c r="C3" s="7" t="s">
        <v>108</v>
      </c>
      <c r="D3" s="7" t="s">
        <v>20</v>
      </c>
    </row>
    <row r="4">
      <c r="A4" s="10" t="s">
        <v>109</v>
      </c>
      <c r="B4" s="24">
        <v>12.0</v>
      </c>
      <c r="C4" s="10" t="s">
        <v>110</v>
      </c>
      <c r="D4" s="5"/>
    </row>
    <row r="5">
      <c r="A5" s="10" t="s">
        <v>111</v>
      </c>
      <c r="B5" s="24">
        <v>0.45</v>
      </c>
      <c r="C5" s="10" t="s">
        <v>112</v>
      </c>
      <c r="D5" s="5"/>
    </row>
    <row r="6">
      <c r="A6" s="10" t="s">
        <v>113</v>
      </c>
      <c r="B6" s="24">
        <v>0.4</v>
      </c>
      <c r="C6" s="10" t="s">
        <v>112</v>
      </c>
      <c r="D6" s="5"/>
    </row>
    <row r="7">
      <c r="A7" s="10" t="s">
        <v>114</v>
      </c>
      <c r="B7" s="24">
        <v>0.2</v>
      </c>
      <c r="C7" s="10" t="s">
        <v>112</v>
      </c>
      <c r="D7" s="5"/>
    </row>
    <row r="8">
      <c r="A8" s="10" t="s">
        <v>116</v>
      </c>
      <c r="B8" s="24">
        <v>0.2</v>
      </c>
      <c r="C8" s="10" t="s">
        <v>112</v>
      </c>
      <c r="D8" s="5"/>
    </row>
    <row r="9">
      <c r="A9" s="10" t="s">
        <v>117</v>
      </c>
      <c r="B9" s="24">
        <v>0.6</v>
      </c>
      <c r="C9" s="10" t="s">
        <v>112</v>
      </c>
      <c r="D9" s="5"/>
    </row>
    <row r="10">
      <c r="A10" s="10" t="s">
        <v>118</v>
      </c>
      <c r="B10" s="24">
        <v>0.35</v>
      </c>
      <c r="C10" s="10" t="s">
        <v>112</v>
      </c>
      <c r="D10" s="5"/>
    </row>
    <row r="11">
      <c r="A11" s="10" t="s">
        <v>119</v>
      </c>
      <c r="B11" s="24">
        <v>1.25</v>
      </c>
      <c r="C11" s="10" t="s">
        <v>110</v>
      </c>
      <c r="D11" s="5"/>
    </row>
    <row r="12">
      <c r="A12" s="10" t="s">
        <v>120</v>
      </c>
      <c r="B12" s="24">
        <v>5.0</v>
      </c>
      <c r="C12" s="10" t="s">
        <v>110</v>
      </c>
      <c r="D12" s="5"/>
    </row>
    <row r="13">
      <c r="A13" s="10" t="s">
        <v>121</v>
      </c>
      <c r="B13" s="24">
        <v>15.0</v>
      </c>
      <c r="C13" s="10" t="s">
        <v>110</v>
      </c>
      <c r="D13" s="5"/>
    </row>
    <row r="16">
      <c r="A16" s="8" t="s">
        <v>123</v>
      </c>
      <c r="B16" s="2"/>
      <c r="C16" s="2"/>
      <c r="D16" s="4"/>
    </row>
    <row r="17">
      <c r="A17" s="5" t="s">
        <v>125</v>
      </c>
    </row>
    <row r="18">
      <c r="A18" s="7" t="s">
        <v>92</v>
      </c>
      <c r="B18" s="7" t="s">
        <v>126</v>
      </c>
      <c r="C18" s="7" t="s">
        <v>127</v>
      </c>
      <c r="D18" s="7" t="s">
        <v>129</v>
      </c>
    </row>
    <row r="19">
      <c r="A19" s="21">
        <v>0.0</v>
      </c>
      <c r="B19" s="10" t="s">
        <v>130</v>
      </c>
      <c r="C19" s="12">
        <v>300.0</v>
      </c>
      <c r="D19" s="12">
        <v>400.0</v>
      </c>
    </row>
    <row r="20">
      <c r="A20" s="21">
        <v>101.0</v>
      </c>
      <c r="B20" s="10" t="s">
        <v>135</v>
      </c>
      <c r="C20" s="12">
        <v>550.0</v>
      </c>
      <c r="D20" s="12">
        <v>550.0</v>
      </c>
    </row>
    <row r="21" ht="15.75" customHeight="1">
      <c r="A21" s="21">
        <v>251.0</v>
      </c>
      <c r="B21" s="10" t="s">
        <v>138</v>
      </c>
      <c r="C21" s="12">
        <v>700.0</v>
      </c>
      <c r="D21" s="12">
        <v>700.0</v>
      </c>
    </row>
    <row r="22" ht="15.75" customHeight="1"/>
    <row r="23" ht="15.75" customHeight="1">
      <c r="A23" s="8" t="s">
        <v>139</v>
      </c>
      <c r="B23" s="2"/>
      <c r="C23" s="2"/>
      <c r="D23" s="4"/>
    </row>
    <row r="24" ht="15.75" customHeight="1">
      <c r="A24" s="5" t="s">
        <v>145</v>
      </c>
    </row>
    <row r="25" ht="15.75" customHeight="1">
      <c r="A25" s="19" t="s">
        <v>146</v>
      </c>
      <c r="B25" s="18">
        <v>0.3</v>
      </c>
    </row>
    <row r="26" ht="15.75" customHeight="1">
      <c r="A26" s="19" t="s">
        <v>148</v>
      </c>
      <c r="B26" s="18">
        <v>0.4</v>
      </c>
    </row>
    <row r="27" ht="15.75" customHeight="1">
      <c r="A27" s="19" t="s">
        <v>150</v>
      </c>
      <c r="B27" s="18">
        <v>4000.0</v>
      </c>
    </row>
    <row r="28" ht="15.75" customHeight="1">
      <c r="A28" s="19" t="s">
        <v>151</v>
      </c>
      <c r="B28" s="18">
        <v>100.0</v>
      </c>
    </row>
    <row r="29" ht="15.75" customHeight="1"/>
    <row r="30" ht="15.75" customHeight="1">
      <c r="A30" s="8" t="s">
        <v>153</v>
      </c>
      <c r="B30" s="2"/>
      <c r="C30" s="2"/>
      <c r="D30" s="4"/>
    </row>
    <row r="31" ht="15.75" customHeight="1">
      <c r="A31" s="19" t="s">
        <v>155</v>
      </c>
      <c r="B31" s="18">
        <v>375.0</v>
      </c>
    </row>
    <row r="32" ht="15.75" customHeight="1">
      <c r="A32" s="19" t="s">
        <v>156</v>
      </c>
      <c r="B32" s="18">
        <v>360.0</v>
      </c>
    </row>
    <row r="33" ht="15.75" customHeight="1">
      <c r="A33" s="19" t="s">
        <v>157</v>
      </c>
      <c r="B33" s="18">
        <v>0.8</v>
      </c>
    </row>
    <row r="34" ht="15.75" customHeight="1">
      <c r="A34" s="19" t="s">
        <v>158</v>
      </c>
      <c r="B34" s="18">
        <v>3600.0</v>
      </c>
    </row>
    <row r="35" ht="15.75" customHeight="1">
      <c r="A35" s="19" t="s">
        <v>160</v>
      </c>
      <c r="B35" s="18">
        <v>250.0</v>
      </c>
    </row>
    <row r="36" ht="15.75" customHeight="1">
      <c r="A36" s="19" t="s">
        <v>161</v>
      </c>
      <c r="B36" s="18">
        <v>5.0</v>
      </c>
    </row>
    <row r="37" ht="15.75" customHeight="1">
      <c r="A37" s="19" t="s">
        <v>162</v>
      </c>
      <c r="B37" s="18">
        <v>8.0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16:D16"/>
    <mergeCell ref="A23:D23"/>
    <mergeCell ref="A30:D3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8.0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122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25" t="s">
        <v>22</v>
      </c>
    </row>
    <row r="7">
      <c r="A7" s="19" t="s">
        <v>141</v>
      </c>
      <c r="B7" s="18">
        <v>110.0</v>
      </c>
      <c r="C7" s="5" t="s">
        <v>142</v>
      </c>
    </row>
    <row r="8">
      <c r="A8" s="19" t="s">
        <v>143</v>
      </c>
      <c r="B8" s="18">
        <v>108.0</v>
      </c>
      <c r="C8" s="5" t="s">
        <v>142</v>
      </c>
    </row>
    <row r="9">
      <c r="A9" s="19" t="s">
        <v>144</v>
      </c>
      <c r="B9" s="18">
        <v>100.4</v>
      </c>
      <c r="C9" s="5" t="s">
        <v>142</v>
      </c>
    </row>
    <row r="10">
      <c r="A10" s="19" t="s">
        <v>147</v>
      </c>
      <c r="B10" s="18">
        <v>900.0</v>
      </c>
      <c r="C10" s="5" t="s">
        <v>142</v>
      </c>
    </row>
    <row r="11">
      <c r="A11" s="19" t="s">
        <v>149</v>
      </c>
      <c r="B11" s="26">
        <v>1.0</v>
      </c>
    </row>
    <row r="13">
      <c r="A13" s="8" t="s">
        <v>152</v>
      </c>
      <c r="B13" s="2"/>
      <c r="C13" s="2"/>
      <c r="D13" s="2"/>
      <c r="E13" s="2"/>
      <c r="F13" s="4"/>
    </row>
    <row r="14">
      <c r="A14" s="19" t="s">
        <v>16</v>
      </c>
      <c r="B14" s="27">
        <f t="array" ref="B14">INDEX(MaterialMaster_Range,MATCH(B6,INDEX(MaterialMaster_Range,0,1),0),3)</f>
        <v>7.85</v>
      </c>
    </row>
    <row r="15">
      <c r="A15" s="19" t="s">
        <v>166</v>
      </c>
      <c r="B15" s="28">
        <f t="array" ref="B15">INDEX(MaterialMaster_Range,MATCH(B6,INDEX(MaterialMaster_Range,0,1),0),4)</f>
        <v>68</v>
      </c>
    </row>
    <row r="16">
      <c r="A16" s="6" t="s">
        <v>175</v>
      </c>
      <c r="B16" s="29">
        <f>(PI()/4)*((B7)^2-(B9)^2)*B10*B14/1000000</f>
        <v>11.207765</v>
      </c>
    </row>
    <row r="17">
      <c r="A17" s="19" t="s">
        <v>182</v>
      </c>
      <c r="B17" s="30">
        <f>B16*B11</f>
        <v>11.207765</v>
      </c>
    </row>
    <row r="18">
      <c r="A18" s="6" t="s">
        <v>184</v>
      </c>
      <c r="B18" s="31">
        <f>IF(B4="No",0,B16*B15)</f>
        <v>762.1280197</v>
      </c>
    </row>
    <row r="19">
      <c r="A19" s="19" t="s">
        <v>187</v>
      </c>
      <c r="B19" s="32">
        <f>B18*B11</f>
        <v>762.1280197</v>
      </c>
    </row>
    <row r="21" ht="15.75" customHeight="1">
      <c r="A21" s="19" t="s">
        <v>191</v>
      </c>
      <c r="B21" s="18">
        <v>12.0</v>
      </c>
    </row>
    <row r="22" ht="15.75" customHeight="1">
      <c r="A22" s="19" t="s">
        <v>193</v>
      </c>
      <c r="B22" s="33">
        <v>4.0</v>
      </c>
    </row>
    <row r="23" ht="15.75" customHeight="1"/>
    <row r="24" ht="15.75" customHeight="1">
      <c r="A24" s="8" t="s">
        <v>197</v>
      </c>
      <c r="B24" s="2"/>
      <c r="C24" s="2"/>
      <c r="D24" s="2"/>
      <c r="E24" s="2"/>
      <c r="F24" s="4"/>
    </row>
    <row r="25" ht="15.75" customHeight="1">
      <c r="A25" s="7" t="s">
        <v>198</v>
      </c>
      <c r="B25" s="7" t="s">
        <v>106</v>
      </c>
      <c r="C25" s="7" t="s">
        <v>199</v>
      </c>
      <c r="D25" s="7" t="s">
        <v>200</v>
      </c>
      <c r="E25" s="7" t="s">
        <v>202</v>
      </c>
      <c r="F25" s="7" t="s">
        <v>203</v>
      </c>
    </row>
    <row r="26" ht="15.75" customHeight="1">
      <c r="A26" s="22" t="s">
        <v>132</v>
      </c>
      <c r="B26" s="10" t="s">
        <v>206</v>
      </c>
      <c r="C26" s="34" t="s">
        <v>50</v>
      </c>
      <c r="D26" s="30">
        <f t="array" ref="D26">INDEX(CuttingTable,MATCH(B7,CuttingODBins,1),MATCH(B10,CuttingLenBins,1))</f>
        <v>0.15</v>
      </c>
      <c r="E26" s="28">
        <f t="array" ref="E26">INDEX(MachineRateMaster_Range,MATCH("Cutting Machine",INDEX(MachineRateMaster_Range,0,1),0),2)</f>
        <v>350</v>
      </c>
      <c r="F26" s="32">
        <f t="shared" ref="F26:F32" si="1">IF(A26="Yes",D26*E26,0)</f>
        <v>52.5</v>
      </c>
    </row>
    <row r="27" ht="15.75" customHeight="1">
      <c r="A27" s="22" t="s">
        <v>132</v>
      </c>
      <c r="B27" s="10" t="s">
        <v>209</v>
      </c>
      <c r="C27" s="34" t="s">
        <v>210</v>
      </c>
      <c r="D27" s="30">
        <f t="array" ref="D27">INDEX(RoughTurningTable,MATCH(B8,TurningODBins,1),MATCH(B10,TurningLenBins,1))*VLOOKUP((B7-B8),StockRemovalTable,3,TRUE())</f>
        <v>0.9</v>
      </c>
      <c r="E27" s="28">
        <f>VLOOKUP(B8,TurningRateTable,3,TRUE())</f>
        <v>550</v>
      </c>
      <c r="F27" s="32">
        <f t="shared" si="1"/>
        <v>495</v>
      </c>
    </row>
    <row r="28" ht="15.75" customHeight="1">
      <c r="A28" s="35" t="s">
        <v>214</v>
      </c>
      <c r="B28" s="10" t="s">
        <v>215</v>
      </c>
      <c r="C28" s="34" t="s">
        <v>210</v>
      </c>
      <c r="D28" s="30">
        <f t="array" ref="D28">INDEX(BoringTable,MATCH(B9,BoringIDBins,1),MATCH(B10,BoringLenBins,1))</f>
        <v>1.2</v>
      </c>
      <c r="E28" s="28" t="str">
        <f t="array" ref="E28">INDEX(MachineRateMaster_Range,MATCH("Conventional Lathe",INDEX(MachineRateMaster_Range,0,1),0),2)</f>
        <v>#N/A</v>
      </c>
      <c r="F28" s="32">
        <f t="shared" si="1"/>
        <v>0</v>
      </c>
    </row>
    <row r="29" ht="15.75" customHeight="1">
      <c r="A29" s="22" t="s">
        <v>132</v>
      </c>
      <c r="B29" s="10" t="s">
        <v>37</v>
      </c>
      <c r="C29" s="34" t="s">
        <v>35</v>
      </c>
      <c r="D29" s="30">
        <f>VLOOKUP(B21,DrillingTable,3,TRUE())*B22</f>
        <v>0.2</v>
      </c>
      <c r="E29" s="28">
        <f t="array" ref="E29">INDEX(MachineRateMaster_Range,MATCH("Drilling Machine",INDEX(MachineRateMaster_Range,0,1),0),2)</f>
        <v>250</v>
      </c>
      <c r="F29" s="32">
        <f t="shared" si="1"/>
        <v>50</v>
      </c>
    </row>
    <row r="30" ht="15.75" customHeight="1">
      <c r="A30" s="22" t="s">
        <v>132</v>
      </c>
      <c r="B30" s="10" t="s">
        <v>226</v>
      </c>
      <c r="C30" s="34" t="s">
        <v>40</v>
      </c>
      <c r="D30" s="30">
        <f>PI()*B9*B10/100</f>
        <v>2838.743122</v>
      </c>
      <c r="E30" s="28">
        <f>IF(AND(B10&lt;=HoningLengthThreshold,B9&lt;=HoningIDThreshold),HoningRateLow,HoningRateHigh)</f>
        <v>0.4</v>
      </c>
      <c r="F30" s="32">
        <f t="shared" si="1"/>
        <v>1135.497249</v>
      </c>
    </row>
    <row r="31" ht="15.75" customHeight="1">
      <c r="A31" s="22" t="s">
        <v>132</v>
      </c>
      <c r="B31" s="10" t="s">
        <v>228</v>
      </c>
      <c r="C31" s="34" t="s">
        <v>15</v>
      </c>
      <c r="D31" s="30">
        <f t="array" ref="D31">INDEX(RoughTurningTable,MATCH(B8,TurningODBins,1),MATCH(B10,TurningLenBins,1))*0.7</f>
        <v>0.63</v>
      </c>
      <c r="E31" s="28">
        <f>VLOOKUP(B8,TurningRateTable,4,TRUE())</f>
        <v>550</v>
      </c>
      <c r="F31" s="32">
        <f t="shared" si="1"/>
        <v>346.5</v>
      </c>
    </row>
    <row r="32" ht="15.75" customHeight="1">
      <c r="A32" s="22" t="s">
        <v>132</v>
      </c>
      <c r="B32" s="10" t="s">
        <v>230</v>
      </c>
      <c r="C32" s="34" t="s">
        <v>40</v>
      </c>
      <c r="D32" s="30">
        <f>PI()*B9*B10/100</f>
        <v>2838.743122</v>
      </c>
      <c r="E32" s="28">
        <f>IF(AND(B10&lt;=HoningLengthThreshold,B9&lt;=HoningIDThreshold),HoningRateLow,HoningRateHigh)</f>
        <v>0.4</v>
      </c>
      <c r="F32" s="32">
        <f t="shared" si="1"/>
        <v>1135.497249</v>
      </c>
    </row>
    <row r="33" ht="15.75" customHeight="1"/>
    <row r="34" ht="15.75" customHeight="1">
      <c r="A34" s="8" t="s">
        <v>234</v>
      </c>
      <c r="B34" s="2"/>
      <c r="C34" s="2"/>
      <c r="D34" s="2"/>
      <c r="E34" s="2"/>
      <c r="F34" s="4"/>
    </row>
    <row r="35" ht="15.75" customHeight="1">
      <c r="A35" s="8" t="s">
        <v>235</v>
      </c>
      <c r="B35" s="2"/>
      <c r="C35" s="2"/>
      <c r="D35" s="2"/>
      <c r="E35" s="2"/>
      <c r="F35" s="4"/>
    </row>
    <row r="36" ht="15.75" customHeight="1">
      <c r="A36" s="19" t="s">
        <v>236</v>
      </c>
      <c r="B36" s="18">
        <v>108.0</v>
      </c>
    </row>
    <row r="37" ht="15.75" customHeight="1">
      <c r="A37" s="19" t="s">
        <v>237</v>
      </c>
      <c r="B37" s="36">
        <f>IF(B36&lt;=WeldDiaThreshold,WeldBeadsLow,WeldBeadsHigh)</f>
        <v>5</v>
      </c>
    </row>
    <row r="38" ht="15.75" customHeight="1">
      <c r="A38" s="19" t="s">
        <v>238</v>
      </c>
      <c r="B38" s="37">
        <f>PI()*B36*B37</f>
        <v>1696.460033</v>
      </c>
    </row>
    <row r="39" ht="15.75" customHeight="1">
      <c r="A39" s="19" t="s">
        <v>239</v>
      </c>
      <c r="B39" s="30">
        <f>B38/WeldSpeed</f>
        <v>0.471238898</v>
      </c>
    </row>
    <row r="40" ht="15.75" customHeight="1">
      <c r="A40" s="19" t="s">
        <v>240</v>
      </c>
      <c r="B40" s="32">
        <f>B39*WeldLabourRate</f>
        <v>176.7145868</v>
      </c>
    </row>
    <row r="41" ht="15.75" customHeight="1">
      <c r="A41" s="19" t="s">
        <v>241</v>
      </c>
      <c r="B41" s="32">
        <f>B39*WeldDepositionRate*WeldWireRate</f>
        <v>135.7168026</v>
      </c>
    </row>
    <row r="42" ht="15.75" customHeight="1">
      <c r="A42" s="6" t="s">
        <v>242</v>
      </c>
      <c r="B42" s="31">
        <f>B40+B41</f>
        <v>312.4313894</v>
      </c>
    </row>
    <row r="43" ht="15.75" customHeight="1"/>
    <row r="44" ht="15.75" customHeight="1">
      <c r="A44" s="8" t="s">
        <v>246</v>
      </c>
      <c r="B44" s="2"/>
      <c r="C44" s="2"/>
      <c r="D44" s="2"/>
      <c r="E44" s="2"/>
      <c r="F44" s="4"/>
    </row>
    <row r="45" ht="15.75" customHeight="1">
      <c r="A45" s="19" t="s">
        <v>236</v>
      </c>
      <c r="B45" s="18">
        <v>108.0</v>
      </c>
    </row>
    <row r="46" ht="15.75" customHeight="1">
      <c r="A46" s="19" t="s">
        <v>237</v>
      </c>
      <c r="B46" s="36">
        <f>IF(B45&lt;=WeldDiaThreshold,WeldBeadsLow,WeldBeadsHigh)</f>
        <v>5</v>
      </c>
    </row>
    <row r="47" ht="15.75" customHeight="1">
      <c r="A47" s="19" t="s">
        <v>238</v>
      </c>
      <c r="B47" s="37">
        <f>PI()*B45*B46</f>
        <v>1696.460033</v>
      </c>
    </row>
    <row r="48" ht="15.75" customHeight="1">
      <c r="A48" s="19" t="s">
        <v>239</v>
      </c>
      <c r="B48" s="30">
        <f>B47/WeldSpeed</f>
        <v>0.471238898</v>
      </c>
    </row>
    <row r="49" ht="15.75" customHeight="1">
      <c r="A49" s="19" t="s">
        <v>240</v>
      </c>
      <c r="B49" s="32">
        <f>B48*WeldLabourRate</f>
        <v>176.7145868</v>
      </c>
    </row>
    <row r="50" ht="15.75" customHeight="1">
      <c r="A50" s="19" t="s">
        <v>241</v>
      </c>
      <c r="B50" s="32">
        <f>B48*WeldDepositionRate*WeldWireRate</f>
        <v>135.7168026</v>
      </c>
    </row>
    <row r="51" ht="15.75" customHeight="1">
      <c r="A51" s="6" t="s">
        <v>242</v>
      </c>
      <c r="B51" s="31">
        <f>B49+B50</f>
        <v>312.4313894</v>
      </c>
    </row>
    <row r="52" ht="15.75" customHeight="1"/>
    <row r="53" ht="15.75" customHeight="1">
      <c r="A53" s="8" t="s">
        <v>256</v>
      </c>
      <c r="B53" s="2"/>
      <c r="C53" s="2"/>
      <c r="D53" s="2"/>
      <c r="E53" s="2"/>
      <c r="F53" s="4"/>
    </row>
    <row r="54" ht="15.75" customHeight="1">
      <c r="A54" s="19" t="s">
        <v>236</v>
      </c>
      <c r="B54" s="18">
        <v>108.0</v>
      </c>
    </row>
    <row r="55" ht="15.75" customHeight="1">
      <c r="A55" s="19" t="s">
        <v>237</v>
      </c>
      <c r="B55" s="36">
        <f>IF(B54&lt;=WeldDiaThreshold,WeldBeadsLow,WeldBeadsHigh)</f>
        <v>5</v>
      </c>
    </row>
    <row r="56" ht="15.75" customHeight="1">
      <c r="A56" s="19" t="s">
        <v>238</v>
      </c>
      <c r="B56" s="37">
        <f>PI()*B54*B55</f>
        <v>1696.460033</v>
      </c>
    </row>
    <row r="57" ht="15.75" customHeight="1">
      <c r="A57" s="19" t="s">
        <v>239</v>
      </c>
      <c r="B57" s="30">
        <f>B56/WeldSpeed</f>
        <v>0.471238898</v>
      </c>
    </row>
    <row r="58" ht="15.75" customHeight="1">
      <c r="A58" s="19" t="s">
        <v>240</v>
      </c>
      <c r="B58" s="32">
        <f>B57*WeldLabourRate</f>
        <v>176.7145868</v>
      </c>
    </row>
    <row r="59" ht="15.75" customHeight="1">
      <c r="A59" s="19" t="s">
        <v>241</v>
      </c>
      <c r="B59" s="32">
        <f>B57*WeldDepositionRate*WeldWireRate</f>
        <v>135.7168026</v>
      </c>
    </row>
    <row r="60" ht="15.75" customHeight="1">
      <c r="A60" s="6" t="s">
        <v>242</v>
      </c>
      <c r="B60" s="31">
        <f>B58+B59</f>
        <v>312.4313894</v>
      </c>
    </row>
    <row r="61" ht="15.75" customHeight="1"/>
    <row r="62" ht="15.75" customHeight="1">
      <c r="A62" s="8" t="s">
        <v>247</v>
      </c>
      <c r="B62" s="2"/>
      <c r="C62" s="2"/>
      <c r="D62" s="2"/>
      <c r="E62" s="2"/>
      <c r="F62" s="4"/>
    </row>
    <row r="63" ht="15.75" customHeight="1">
      <c r="A63" s="6" t="s">
        <v>249</v>
      </c>
      <c r="B63" s="31">
        <f>F26+F27+F28+F29+F30+F31+F32+B42+B51+B60</f>
        <v>4152.288666</v>
      </c>
    </row>
    <row r="64" ht="15.75" customHeight="1"/>
    <row r="65" ht="15.75" customHeight="1">
      <c r="A65" s="8" t="s">
        <v>251</v>
      </c>
      <c r="B65" s="2"/>
      <c r="C65" s="2"/>
      <c r="D65" s="2"/>
      <c r="E65" s="2"/>
      <c r="F65" s="4"/>
    </row>
    <row r="66" ht="15.75" customHeight="1">
      <c r="A66" s="19" t="s">
        <v>252</v>
      </c>
      <c r="B66" s="20">
        <v>0.0</v>
      </c>
    </row>
    <row r="67" ht="15.75" customHeight="1">
      <c r="A67" s="19" t="s">
        <v>20</v>
      </c>
      <c r="B67" s="39"/>
      <c r="C67" s="40"/>
      <c r="D67" s="40"/>
      <c r="E67" s="40"/>
      <c r="F67" s="41"/>
    </row>
    <row r="68" ht="15.75" customHeight="1"/>
    <row r="69" ht="15.75" customHeight="1">
      <c r="A69" s="8" t="s">
        <v>253</v>
      </c>
      <c r="B69" s="2"/>
      <c r="C69" s="2"/>
      <c r="D69" s="2"/>
      <c r="E69" s="2"/>
      <c r="F69" s="4"/>
    </row>
    <row r="70" ht="15.75" customHeight="1">
      <c r="A70" s="7" t="s">
        <v>254</v>
      </c>
      <c r="B70" s="7" t="s">
        <v>255</v>
      </c>
      <c r="C70" s="7"/>
      <c r="D70" s="7"/>
      <c r="E70" s="7"/>
      <c r="F70" s="7"/>
    </row>
    <row r="71" ht="15.75" customHeight="1">
      <c r="A71" s="19" t="s">
        <v>257</v>
      </c>
      <c r="B71" s="32">
        <f>B18</f>
        <v>762.1280197</v>
      </c>
    </row>
    <row r="72" ht="15.75" customHeight="1">
      <c r="A72" s="19" t="s">
        <v>258</v>
      </c>
      <c r="B72" s="32">
        <f>B63</f>
        <v>4152.288666</v>
      </c>
    </row>
    <row r="73" ht="15.75" customHeight="1">
      <c r="A73" s="19" t="s">
        <v>259</v>
      </c>
      <c r="B73" s="32">
        <f>B66</f>
        <v>0</v>
      </c>
    </row>
    <row r="74" ht="15.75" customHeight="1">
      <c r="A74" s="6" t="s">
        <v>265</v>
      </c>
      <c r="B74" s="31">
        <f>B18+B63+B66</f>
        <v>4914.416685</v>
      </c>
    </row>
    <row r="75" ht="15.75" customHeight="1">
      <c r="A75" s="6" t="s">
        <v>267</v>
      </c>
      <c r="B75" s="31">
        <f>B74*B11</f>
        <v>4914.416685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53:F53"/>
    <mergeCell ref="A62:F62"/>
    <mergeCell ref="A65:F65"/>
    <mergeCell ref="B67:F67"/>
    <mergeCell ref="A69:F69"/>
    <mergeCell ref="A1:F1"/>
    <mergeCell ref="A3:F3"/>
    <mergeCell ref="A13:F13"/>
    <mergeCell ref="A24:F24"/>
    <mergeCell ref="A34:F34"/>
    <mergeCell ref="A35:F35"/>
    <mergeCell ref="A44:F44"/>
  </mergeCells>
  <dataValidations>
    <dataValidation type="list" allowBlank="1" sqref="B4 A26:A32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5.43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154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25" t="s">
        <v>42</v>
      </c>
    </row>
    <row r="7">
      <c r="A7" s="19" t="s">
        <v>169</v>
      </c>
      <c r="B7" s="18">
        <v>62.0</v>
      </c>
      <c r="C7" s="5" t="s">
        <v>142</v>
      </c>
    </row>
    <row r="8">
      <c r="A8" s="19" t="s">
        <v>171</v>
      </c>
      <c r="B8" s="18">
        <v>56.0</v>
      </c>
      <c r="C8" s="5" t="s">
        <v>142</v>
      </c>
    </row>
    <row r="9">
      <c r="A9" s="19" t="s">
        <v>147</v>
      </c>
      <c r="B9" s="18">
        <v>1150.0</v>
      </c>
      <c r="C9" s="5" t="s">
        <v>142</v>
      </c>
    </row>
    <row r="10">
      <c r="A10" s="19" t="s">
        <v>149</v>
      </c>
      <c r="B10" s="26">
        <v>1.0</v>
      </c>
    </row>
    <row r="12">
      <c r="A12" s="8" t="s">
        <v>152</v>
      </c>
      <c r="B12" s="2"/>
      <c r="C12" s="2"/>
      <c r="D12" s="2"/>
      <c r="E12" s="2"/>
      <c r="F12" s="4"/>
    </row>
    <row r="13">
      <c r="A13" s="19" t="s">
        <v>16</v>
      </c>
      <c r="B13" s="27">
        <f t="array" ref="B13">INDEX(MaterialMaster_Range,MATCH(B6,INDEX(MaterialMaster_Range,0,1),0),3)</f>
        <v>7.85</v>
      </c>
    </row>
    <row r="14">
      <c r="A14" s="19" t="s">
        <v>166</v>
      </c>
      <c r="B14" s="28">
        <f t="array" ref="B14">INDEX(MaterialMaster_Range,MATCH(B6,INDEX(MaterialMaster_Range,0,1),0),4)</f>
        <v>92</v>
      </c>
    </row>
    <row r="15">
      <c r="A15" s="6" t="s">
        <v>175</v>
      </c>
      <c r="B15" s="29">
        <f>(PI()/4)*((B7)^2)*B9*B13/1000000</f>
        <v>27.2546593</v>
      </c>
    </row>
    <row r="16">
      <c r="A16" s="19" t="s">
        <v>182</v>
      </c>
      <c r="B16" s="30">
        <f>B15*B10</f>
        <v>27.2546593</v>
      </c>
    </row>
    <row r="17">
      <c r="A17" s="6" t="s">
        <v>184</v>
      </c>
      <c r="B17" s="31">
        <f>IF(B4="No",0,B15*B14)</f>
        <v>2507.428656</v>
      </c>
    </row>
    <row r="18">
      <c r="A18" s="19" t="s">
        <v>187</v>
      </c>
      <c r="B18" s="32">
        <f>B17*B10</f>
        <v>2507.428656</v>
      </c>
    </row>
    <row r="20">
      <c r="A20" s="19" t="s">
        <v>201</v>
      </c>
      <c r="B20" s="18">
        <v>20.0</v>
      </c>
    </row>
    <row r="21" ht="15.75" customHeight="1">
      <c r="A21" s="19" t="s">
        <v>204</v>
      </c>
      <c r="B21" s="18">
        <v>40.0</v>
      </c>
    </row>
    <row r="22" ht="15.75" customHeight="1">
      <c r="A22" s="19" t="s">
        <v>205</v>
      </c>
      <c r="B22" s="20">
        <v>0.0</v>
      </c>
    </row>
    <row r="23" ht="15.75" customHeight="1"/>
    <row r="24" ht="15.75" customHeight="1">
      <c r="A24" s="8" t="s">
        <v>207</v>
      </c>
      <c r="B24" s="2"/>
      <c r="C24" s="2"/>
      <c r="D24" s="2"/>
      <c r="E24" s="2"/>
      <c r="F24" s="4"/>
    </row>
    <row r="25" ht="15.75" customHeight="1">
      <c r="A25" s="7" t="s">
        <v>198</v>
      </c>
      <c r="B25" s="7" t="s">
        <v>106</v>
      </c>
      <c r="C25" s="7" t="s">
        <v>199</v>
      </c>
      <c r="D25" s="7" t="s">
        <v>200</v>
      </c>
      <c r="E25" s="7" t="s">
        <v>202</v>
      </c>
      <c r="F25" s="7" t="s">
        <v>203</v>
      </c>
    </row>
    <row r="26" ht="15.75" customHeight="1">
      <c r="A26" s="22" t="s">
        <v>132</v>
      </c>
      <c r="B26" s="10" t="s">
        <v>206</v>
      </c>
      <c r="C26" s="34" t="s">
        <v>50</v>
      </c>
      <c r="D26" s="30">
        <f t="array" ref="D26">INDEX(CuttingTable,MATCH(B7,CuttingODBins,1),MATCH(B9,CuttingLenBins,1))</f>
        <v>0.15</v>
      </c>
      <c r="E26" s="28">
        <f t="array" ref="E26">INDEX(MachineRateMaster_Range,MATCH("Cutting Machine",INDEX(MachineRateMaster_Range,0,1),0),2)</f>
        <v>350</v>
      </c>
      <c r="F26" s="32">
        <f t="shared" ref="F26:F27" si="1">IF(A26="Yes",D26*E26,0)</f>
        <v>52.5</v>
      </c>
    </row>
    <row r="27" ht="15.75" customHeight="1">
      <c r="A27" s="22" t="s">
        <v>132</v>
      </c>
      <c r="B27" s="10" t="s">
        <v>209</v>
      </c>
      <c r="C27" s="34" t="s">
        <v>15</v>
      </c>
      <c r="D27" s="30">
        <f t="array" ref="D27">INDEX(RoughTurningTable,MATCH(B8,TurningODBins,1),MATCH(B9,TurningLenBins,1))*VLOOKUP((B7-B8),StockRemovalTable,3,TRUE())</f>
        <v>1.62</v>
      </c>
      <c r="E27" s="28">
        <f>VLOOKUP(B8,TurningRateTable,3,TRUE())</f>
        <v>300</v>
      </c>
      <c r="F27" s="32">
        <f t="shared" si="1"/>
        <v>486</v>
      </c>
    </row>
    <row r="28" ht="15.75" customHeight="1">
      <c r="A28" s="5" t="s">
        <v>224</v>
      </c>
    </row>
    <row r="29" ht="15.75" customHeight="1">
      <c r="A29" s="22" t="s">
        <v>132</v>
      </c>
      <c r="B29" s="10" t="s">
        <v>109</v>
      </c>
      <c r="C29" s="34" t="s">
        <v>225</v>
      </c>
      <c r="D29" s="30">
        <f>B15</f>
        <v>27.2546593</v>
      </c>
      <c r="E29" s="28">
        <f>HeatTreatmentRate</f>
        <v>12</v>
      </c>
      <c r="F29" s="32">
        <f t="shared" ref="F29:F35" si="2">IF(A29="Yes",D29*E29,0)</f>
        <v>327.0559116</v>
      </c>
    </row>
    <row r="30" ht="15.75" customHeight="1">
      <c r="A30" s="22" t="s">
        <v>132</v>
      </c>
      <c r="B30" s="10" t="s">
        <v>111</v>
      </c>
      <c r="C30" s="34" t="s">
        <v>227</v>
      </c>
      <c r="D30" s="30">
        <f>PI()*B8*B9/100</f>
        <v>2023.185669</v>
      </c>
      <c r="E30" s="28">
        <f>InductionHardeningRate</f>
        <v>0.45</v>
      </c>
      <c r="F30" s="32">
        <f t="shared" si="2"/>
        <v>910.433551</v>
      </c>
    </row>
    <row r="31" ht="15.75" customHeight="1">
      <c r="A31" s="22" t="s">
        <v>132</v>
      </c>
      <c r="B31" s="10" t="s">
        <v>228</v>
      </c>
      <c r="C31" s="34" t="s">
        <v>15</v>
      </c>
      <c r="D31" s="30">
        <f t="array" ref="D31">INDEX(RoughTurningTable,MATCH(B8,TurningODBins,1),MATCH(B9,TurningLenBins,1))*0.7</f>
        <v>0.84</v>
      </c>
      <c r="E31" s="28">
        <f>VLOOKUP(B8,TurningRateTable,4,TRUE())</f>
        <v>400</v>
      </c>
      <c r="F31" s="32">
        <f t="shared" si="2"/>
        <v>336</v>
      </c>
    </row>
    <row r="32" ht="15.75" customHeight="1">
      <c r="A32" s="22" t="s">
        <v>132</v>
      </c>
      <c r="B32" s="10" t="s">
        <v>113</v>
      </c>
      <c r="C32" s="34" t="s">
        <v>232</v>
      </c>
      <c r="D32" s="30">
        <f>PI()*B8*B9/100</f>
        <v>2023.185669</v>
      </c>
      <c r="E32" s="28">
        <f>GrindingRate</f>
        <v>0.4</v>
      </c>
      <c r="F32" s="32">
        <f t="shared" si="2"/>
        <v>809.2742676</v>
      </c>
    </row>
    <row r="33" ht="15.75" customHeight="1">
      <c r="A33" s="22" t="s">
        <v>132</v>
      </c>
      <c r="B33" s="10" t="s">
        <v>117</v>
      </c>
      <c r="C33" s="34" t="s">
        <v>227</v>
      </c>
      <c r="D33" s="30">
        <f>PI()*B8*B9/100</f>
        <v>2023.185669</v>
      </c>
      <c r="E33" s="28">
        <f>ChromePlatingRate</f>
        <v>0.6</v>
      </c>
      <c r="F33" s="32">
        <f t="shared" si="2"/>
        <v>1213.911401</v>
      </c>
    </row>
    <row r="34" ht="15.75" customHeight="1">
      <c r="A34" s="22" t="s">
        <v>132</v>
      </c>
      <c r="B34" s="10" t="s">
        <v>114</v>
      </c>
      <c r="C34" s="34" t="s">
        <v>232</v>
      </c>
      <c r="D34" s="30">
        <f>PI()*B8*B9/100</f>
        <v>2023.185669</v>
      </c>
      <c r="E34" s="28">
        <f>PolishingRate</f>
        <v>0.2</v>
      </c>
      <c r="F34" s="32">
        <f t="shared" si="2"/>
        <v>404.6371338</v>
      </c>
    </row>
    <row r="35" ht="15.75" customHeight="1">
      <c r="A35" s="22" t="s">
        <v>132</v>
      </c>
      <c r="B35" s="10" t="s">
        <v>34</v>
      </c>
      <c r="C35" s="34" t="s">
        <v>31</v>
      </c>
      <c r="D35" s="30">
        <f>VLOOKUP((B20)*(B21),MillingTable,3,TRUE())</f>
        <v>0.3</v>
      </c>
      <c r="E35" s="28">
        <f t="array" ref="E35">INDEX(MachineRateMaster_Range,MATCH("Milling Machine",INDEX(MachineRateMaster_Range,0,1),0),2)</f>
        <v>350</v>
      </c>
      <c r="F35" s="32">
        <f t="shared" si="2"/>
        <v>105</v>
      </c>
    </row>
    <row r="36" ht="15.75" customHeight="1">
      <c r="A36" s="22" t="s">
        <v>132</v>
      </c>
      <c r="B36" s="10" t="s">
        <v>243</v>
      </c>
      <c r="C36" s="34" t="s">
        <v>244</v>
      </c>
      <c r="D36" s="34" t="s">
        <v>245</v>
      </c>
      <c r="E36" s="34" t="s">
        <v>245</v>
      </c>
      <c r="F36" s="38">
        <f>B22</f>
        <v>0</v>
      </c>
    </row>
    <row r="37" ht="15.75" customHeight="1"/>
    <row r="38" ht="15.75" customHeight="1">
      <c r="A38" s="8" t="s">
        <v>248</v>
      </c>
      <c r="B38" s="2"/>
      <c r="C38" s="2"/>
      <c r="D38" s="2"/>
      <c r="E38" s="2"/>
      <c r="F38" s="4"/>
    </row>
    <row r="39" ht="15.75" customHeight="1">
      <c r="A39" s="8" t="s">
        <v>250</v>
      </c>
      <c r="B39" s="2"/>
      <c r="C39" s="2"/>
      <c r="D39" s="2"/>
      <c r="E39" s="2"/>
      <c r="F39" s="4"/>
    </row>
    <row r="40" ht="15.75" customHeight="1">
      <c r="A40" s="19" t="s">
        <v>236</v>
      </c>
      <c r="B40" s="18">
        <v>56.0</v>
      </c>
    </row>
    <row r="41" ht="15.75" customHeight="1">
      <c r="A41" s="19" t="s">
        <v>237</v>
      </c>
      <c r="B41" s="36">
        <f>IF(B40&lt;=WeldDiaThreshold,WeldBeadsLow,WeldBeadsHigh)</f>
        <v>5</v>
      </c>
    </row>
    <row r="42" ht="15.75" customHeight="1">
      <c r="A42" s="19" t="s">
        <v>238</v>
      </c>
      <c r="B42" s="37">
        <f>PI()*B40*B41</f>
        <v>879.645943</v>
      </c>
    </row>
    <row r="43" ht="15.75" customHeight="1">
      <c r="A43" s="19" t="s">
        <v>239</v>
      </c>
      <c r="B43" s="30">
        <f>B42/WeldSpeed</f>
        <v>0.2443460953</v>
      </c>
    </row>
    <row r="44" ht="15.75" customHeight="1">
      <c r="A44" s="19" t="s">
        <v>240</v>
      </c>
      <c r="B44" s="32">
        <f>B43*WeldLabourRate</f>
        <v>91.62978573</v>
      </c>
    </row>
    <row r="45" ht="15.75" customHeight="1">
      <c r="A45" s="19" t="s">
        <v>241</v>
      </c>
      <c r="B45" s="32">
        <f>B43*WeldDepositionRate*WeldWireRate</f>
        <v>70.37167544</v>
      </c>
    </row>
    <row r="46" ht="15.75" customHeight="1">
      <c r="A46" s="6" t="s">
        <v>242</v>
      </c>
      <c r="B46" s="31">
        <f>B44+B45</f>
        <v>162.0014612</v>
      </c>
    </row>
    <row r="47" ht="15.75" customHeight="1"/>
    <row r="48" ht="15.75" customHeight="1">
      <c r="A48" s="8" t="s">
        <v>247</v>
      </c>
      <c r="B48" s="2"/>
      <c r="C48" s="2"/>
      <c r="D48" s="2"/>
      <c r="E48" s="2"/>
      <c r="F48" s="4"/>
    </row>
    <row r="49" ht="15.75" customHeight="1">
      <c r="A49" s="6" t="s">
        <v>249</v>
      </c>
      <c r="B49" s="31">
        <f>F26+F27+F29+F30+F31+F32+F33+F34+F35+F36+B46</f>
        <v>4806.813726</v>
      </c>
    </row>
    <row r="50" ht="15.75" customHeight="1"/>
    <row r="51" ht="15.75" customHeight="1">
      <c r="A51" s="8" t="s">
        <v>251</v>
      </c>
      <c r="B51" s="2"/>
      <c r="C51" s="2"/>
      <c r="D51" s="2"/>
      <c r="E51" s="2"/>
      <c r="F51" s="4"/>
    </row>
    <row r="52" ht="15.75" customHeight="1">
      <c r="A52" s="19" t="s">
        <v>252</v>
      </c>
      <c r="B52" s="20">
        <v>0.0</v>
      </c>
    </row>
    <row r="53" ht="15.75" customHeight="1">
      <c r="A53" s="19" t="s">
        <v>20</v>
      </c>
      <c r="B53" s="39"/>
      <c r="C53" s="40"/>
      <c r="D53" s="40"/>
      <c r="E53" s="40"/>
      <c r="F53" s="41"/>
    </row>
    <row r="54" ht="15.75" customHeight="1"/>
    <row r="55" ht="15.75" customHeight="1">
      <c r="A55" s="8" t="s">
        <v>253</v>
      </c>
      <c r="B55" s="2"/>
      <c r="C55" s="2"/>
      <c r="D55" s="2"/>
      <c r="E55" s="2"/>
      <c r="F55" s="4"/>
    </row>
    <row r="56" ht="15.75" customHeight="1">
      <c r="A56" s="7" t="s">
        <v>254</v>
      </c>
      <c r="B56" s="7" t="s">
        <v>255</v>
      </c>
      <c r="C56" s="7"/>
      <c r="D56" s="7"/>
      <c r="E56" s="7"/>
      <c r="F56" s="7"/>
    </row>
    <row r="57" ht="15.75" customHeight="1">
      <c r="A57" s="19" t="s">
        <v>257</v>
      </c>
      <c r="B57" s="32">
        <f>B17</f>
        <v>2507.428656</v>
      </c>
    </row>
    <row r="58" ht="15.75" customHeight="1">
      <c r="A58" s="19" t="s">
        <v>258</v>
      </c>
      <c r="B58" s="32">
        <f>B49</f>
        <v>4806.813726</v>
      </c>
    </row>
    <row r="59" ht="15.75" customHeight="1">
      <c r="A59" s="19" t="s">
        <v>259</v>
      </c>
      <c r="B59" s="32">
        <f>B52</f>
        <v>0</v>
      </c>
    </row>
    <row r="60" ht="15.75" customHeight="1">
      <c r="A60" s="6" t="s">
        <v>262</v>
      </c>
      <c r="B60" s="31">
        <f>B17+B49+B52</f>
        <v>7314.242382</v>
      </c>
    </row>
    <row r="61" ht="15.75" customHeight="1">
      <c r="A61" s="6" t="s">
        <v>263</v>
      </c>
      <c r="B61" s="31">
        <f>B60*B10</f>
        <v>7314.242382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51:F51"/>
    <mergeCell ref="B53:F53"/>
    <mergeCell ref="A55:F55"/>
    <mergeCell ref="A1:F1"/>
    <mergeCell ref="A3:F3"/>
    <mergeCell ref="A12:F12"/>
    <mergeCell ref="A24:F24"/>
    <mergeCell ref="A38:F38"/>
    <mergeCell ref="A39:F39"/>
    <mergeCell ref="A48:F48"/>
  </mergeCells>
  <dataValidations>
    <dataValidation type="list" allowBlank="1" sqref="B4 A26:A27 A29:A36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8.86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208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6" t="s">
        <v>211</v>
      </c>
      <c r="B5" s="22" t="s">
        <v>212</v>
      </c>
      <c r="C5" s="5" t="s">
        <v>213</v>
      </c>
    </row>
    <row r="6">
      <c r="A6" s="7" t="s">
        <v>134</v>
      </c>
      <c r="B6" s="7" t="s">
        <v>136</v>
      </c>
      <c r="C6" s="7" t="s">
        <v>108</v>
      </c>
      <c r="D6" s="7"/>
      <c r="E6" s="7"/>
      <c r="F6" s="7"/>
    </row>
    <row r="7">
      <c r="A7" s="19" t="s">
        <v>140</v>
      </c>
      <c r="B7" s="9" t="s">
        <v>216</v>
      </c>
    </row>
    <row r="8">
      <c r="A8" s="19" t="s">
        <v>217</v>
      </c>
      <c r="B8" s="18">
        <v>100.0</v>
      </c>
      <c r="C8" s="5" t="s">
        <v>218</v>
      </c>
    </row>
    <row r="9">
      <c r="A9" s="19" t="s">
        <v>219</v>
      </c>
      <c r="B9" s="18">
        <v>160.0</v>
      </c>
      <c r="C9" s="5" t="s">
        <v>220</v>
      </c>
    </row>
    <row r="10">
      <c r="A10" s="19" t="s">
        <v>221</v>
      </c>
      <c r="B10" s="18">
        <v>100.0</v>
      </c>
      <c r="C10" s="5" t="s">
        <v>220</v>
      </c>
    </row>
    <row r="11">
      <c r="A11" s="19" t="s">
        <v>222</v>
      </c>
      <c r="B11" s="18">
        <v>60.0</v>
      </c>
      <c r="C11" s="5" t="s">
        <v>142</v>
      </c>
    </row>
    <row r="12">
      <c r="A12" s="19" t="s">
        <v>143</v>
      </c>
      <c r="B12" s="18">
        <v>220.0</v>
      </c>
      <c r="C12" s="5" t="s">
        <v>223</v>
      </c>
    </row>
    <row r="13">
      <c r="A13" s="19" t="s">
        <v>149</v>
      </c>
      <c r="B13" s="26">
        <v>1.0</v>
      </c>
    </row>
    <row r="15">
      <c r="A15" s="8" t="s">
        <v>152</v>
      </c>
      <c r="B15" s="2"/>
      <c r="C15" s="2"/>
      <c r="D15" s="2"/>
      <c r="E15" s="2"/>
      <c r="F15" s="4"/>
    </row>
    <row r="16">
      <c r="A16" s="19" t="s">
        <v>16</v>
      </c>
      <c r="B16" s="27" t="str">
        <f t="array" ref="B16">INDEX(MaterialMaster_Range,MATCH(B7,INDEX(MaterialMaster_Range,0,1),0),3)</f>
        <v>#N/A</v>
      </c>
    </row>
    <row r="17">
      <c r="A17" s="19" t="s">
        <v>166</v>
      </c>
      <c r="B17" s="28" t="str">
        <f t="array" ref="B17">INDEX(MaterialMaster_Range,MATCH(B7,INDEX(MaterialMaster_Range,0,1),0),4)</f>
        <v>#N/A</v>
      </c>
    </row>
    <row r="18">
      <c r="A18" s="6" t="s">
        <v>175</v>
      </c>
      <c r="B18" s="29" t="str">
        <f>IF(B5="Round",(PI()/4)*(B8)^2*B11*B16/1000000,(B9)*(B10)*B11*B16/1000000)</f>
        <v>#N/A</v>
      </c>
    </row>
    <row r="19">
      <c r="A19" s="19" t="s">
        <v>182</v>
      </c>
      <c r="B19" s="30" t="str">
        <f>B18*B13</f>
        <v>#N/A</v>
      </c>
    </row>
    <row r="20">
      <c r="A20" s="6" t="s">
        <v>184</v>
      </c>
      <c r="B20" s="31" t="str">
        <f>IF(B4="No",0,B18*B17)</f>
        <v>#N/A</v>
      </c>
    </row>
    <row r="21" ht="15.75" customHeight="1">
      <c r="A21" s="19" t="s">
        <v>187</v>
      </c>
      <c r="B21" s="32" t="str">
        <f>B20*B13</f>
        <v>#N/A</v>
      </c>
    </row>
    <row r="22" ht="15.75" customHeight="1"/>
    <row r="23" ht="15.75" customHeight="1">
      <c r="A23" s="19" t="s">
        <v>201</v>
      </c>
      <c r="B23" s="18">
        <v>40.0</v>
      </c>
    </row>
    <row r="24" ht="15.75" customHeight="1">
      <c r="A24" s="19" t="s">
        <v>204</v>
      </c>
      <c r="B24" s="18">
        <v>40.0</v>
      </c>
    </row>
    <row r="25" ht="15.75" customHeight="1">
      <c r="A25" s="19" t="s">
        <v>191</v>
      </c>
      <c r="B25" s="18">
        <v>14.0</v>
      </c>
    </row>
    <row r="26" ht="15.75" customHeight="1">
      <c r="A26" s="19" t="s">
        <v>193</v>
      </c>
      <c r="B26" s="26">
        <v>4.0</v>
      </c>
    </row>
    <row r="27" ht="15.75" customHeight="1"/>
    <row r="28" ht="15.75" customHeight="1">
      <c r="A28" s="8" t="s">
        <v>231</v>
      </c>
      <c r="B28" s="2"/>
      <c r="C28" s="2"/>
      <c r="D28" s="2"/>
      <c r="E28" s="2"/>
      <c r="F28" s="4"/>
    </row>
    <row r="29" ht="15.75" customHeight="1">
      <c r="A29" s="7" t="s">
        <v>198</v>
      </c>
      <c r="B29" s="7" t="s">
        <v>106</v>
      </c>
      <c r="C29" s="7" t="s">
        <v>199</v>
      </c>
      <c r="D29" s="7" t="s">
        <v>200</v>
      </c>
      <c r="E29" s="7" t="s">
        <v>202</v>
      </c>
      <c r="F29" s="7" t="s">
        <v>203</v>
      </c>
    </row>
    <row r="30" ht="15.75" customHeight="1">
      <c r="A30" s="22" t="s">
        <v>132</v>
      </c>
      <c r="B30" s="10" t="s">
        <v>233</v>
      </c>
      <c r="C30" s="34" t="s">
        <v>15</v>
      </c>
      <c r="D30" s="30">
        <f t="array" ref="D30">INDEX(RoughTurningTable,MATCH(B12,TurningODBins,1),MATCH(B11,TurningLenBins,1))</f>
        <v>0.8</v>
      </c>
      <c r="E30" s="28">
        <f t="array" ref="E30">INDEX(MachineRateMaster_Range,MATCH("CNC Lathe",INDEX(MachineRateMaster_Range,0,1),0),2)</f>
        <v>550</v>
      </c>
      <c r="F30" s="32">
        <f t="shared" ref="F30:F32" si="1">IF(A30="Yes",D30*E30,0)</f>
        <v>440</v>
      </c>
    </row>
    <row r="31" ht="15.75" customHeight="1">
      <c r="A31" s="22" t="s">
        <v>132</v>
      </c>
      <c r="B31" s="10" t="s">
        <v>34</v>
      </c>
      <c r="C31" s="34" t="s">
        <v>31</v>
      </c>
      <c r="D31" s="30">
        <f>VLOOKUP((B23)*(B24),MillingTable,3,TRUE())</f>
        <v>0.3</v>
      </c>
      <c r="E31" s="28">
        <f t="array" ref="E31">INDEX(MachineRateMaster_Range,MATCH("Milling Machine",INDEX(MachineRateMaster_Range,0,1),0),2)</f>
        <v>350</v>
      </c>
      <c r="F31" s="32">
        <f t="shared" si="1"/>
        <v>105</v>
      </c>
    </row>
    <row r="32" ht="15.75" customHeight="1">
      <c r="A32" s="35" t="s">
        <v>214</v>
      </c>
      <c r="B32" s="10" t="s">
        <v>37</v>
      </c>
      <c r="C32" s="34" t="s">
        <v>35</v>
      </c>
      <c r="D32" s="30">
        <f>VLOOKUP(B25,DrillingTable,3,TRUE())*B26</f>
        <v>0.2</v>
      </c>
      <c r="E32" s="28">
        <f t="array" ref="E32">INDEX(MachineRateMaster_Range,MATCH("Drilling Machine",INDEX(MachineRateMaster_Range,0,1),0),2)</f>
        <v>250</v>
      </c>
      <c r="F32" s="32">
        <f t="shared" si="1"/>
        <v>0</v>
      </c>
    </row>
    <row r="33" ht="15.75" customHeight="1"/>
    <row r="34" ht="15.75" customHeight="1">
      <c r="A34" s="8" t="s">
        <v>247</v>
      </c>
      <c r="B34" s="2"/>
      <c r="C34" s="2"/>
      <c r="D34" s="2"/>
      <c r="E34" s="2"/>
      <c r="F34" s="4"/>
    </row>
    <row r="35" ht="15.75" customHeight="1">
      <c r="A35" s="6" t="s">
        <v>249</v>
      </c>
      <c r="B35" s="31">
        <f>F30+F31+F32</f>
        <v>545</v>
      </c>
    </row>
    <row r="36" ht="15.75" customHeight="1"/>
    <row r="37" ht="15.75" customHeight="1">
      <c r="A37" s="8" t="s">
        <v>251</v>
      </c>
      <c r="B37" s="2"/>
      <c r="C37" s="2"/>
      <c r="D37" s="2"/>
      <c r="E37" s="2"/>
      <c r="F37" s="4"/>
    </row>
    <row r="38" ht="15.75" customHeight="1">
      <c r="A38" s="19" t="s">
        <v>252</v>
      </c>
      <c r="B38" s="20">
        <v>0.0</v>
      </c>
    </row>
    <row r="39" ht="15.75" customHeight="1">
      <c r="A39" s="19" t="s">
        <v>20</v>
      </c>
      <c r="B39" s="39"/>
      <c r="C39" s="40"/>
      <c r="D39" s="40"/>
      <c r="E39" s="40"/>
      <c r="F39" s="41"/>
    </row>
    <row r="40" ht="15.75" customHeight="1"/>
    <row r="41" ht="15.75" customHeight="1">
      <c r="A41" s="8" t="s">
        <v>253</v>
      </c>
      <c r="B41" s="2"/>
      <c r="C41" s="2"/>
      <c r="D41" s="2"/>
      <c r="E41" s="2"/>
      <c r="F41" s="4"/>
    </row>
    <row r="42" ht="15.75" customHeight="1">
      <c r="A42" s="7" t="s">
        <v>254</v>
      </c>
      <c r="B42" s="7" t="s">
        <v>255</v>
      </c>
      <c r="C42" s="7"/>
      <c r="D42" s="7"/>
      <c r="E42" s="7"/>
      <c r="F42" s="7"/>
    </row>
    <row r="43" ht="15.75" customHeight="1">
      <c r="A43" s="19" t="s">
        <v>257</v>
      </c>
      <c r="B43" s="32" t="str">
        <f>B20</f>
        <v>#N/A</v>
      </c>
    </row>
    <row r="44" ht="15.75" customHeight="1">
      <c r="A44" s="19" t="s">
        <v>258</v>
      </c>
      <c r="B44" s="32">
        <f>B35</f>
        <v>545</v>
      </c>
    </row>
    <row r="45" ht="15.75" customHeight="1">
      <c r="A45" s="19" t="s">
        <v>259</v>
      </c>
      <c r="B45" s="32">
        <f>B38</f>
        <v>0</v>
      </c>
    </row>
    <row r="46" ht="15.75" customHeight="1">
      <c r="A46" s="6" t="s">
        <v>260</v>
      </c>
      <c r="B46" s="31" t="str">
        <f>B20+B35+B38</f>
        <v>#N/A</v>
      </c>
    </row>
    <row r="47" ht="15.75" customHeight="1">
      <c r="A47" s="6" t="s">
        <v>261</v>
      </c>
      <c r="B47" s="31" t="str">
        <f>B46*B13</f>
        <v>#N/A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5:F15"/>
    <mergeCell ref="A28:F28"/>
    <mergeCell ref="A34:F34"/>
    <mergeCell ref="A37:F37"/>
    <mergeCell ref="B39:F39"/>
    <mergeCell ref="A41:F41"/>
  </mergeCells>
  <dataValidations>
    <dataValidation type="list" allowBlank="1" sqref="B5">
      <formula1>"Round,Profile,Cuboid Block"</formula1>
    </dataValidation>
    <dataValidation type="list" allowBlank="1" sqref="B4 A30:A32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229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6" t="s">
        <v>211</v>
      </c>
      <c r="B5" s="22" t="s">
        <v>212</v>
      </c>
      <c r="C5" s="5" t="s">
        <v>213</v>
      </c>
    </row>
    <row r="6">
      <c r="A6" s="7" t="s">
        <v>134</v>
      </c>
      <c r="B6" s="7" t="s">
        <v>136</v>
      </c>
      <c r="C6" s="7" t="s">
        <v>108</v>
      </c>
      <c r="D6" s="7"/>
      <c r="E6" s="7"/>
      <c r="F6" s="7"/>
    </row>
    <row r="7">
      <c r="A7" s="19" t="s">
        <v>140</v>
      </c>
      <c r="B7" s="9" t="s">
        <v>216</v>
      </c>
    </row>
    <row r="8">
      <c r="A8" s="19" t="s">
        <v>217</v>
      </c>
      <c r="B8" s="18">
        <v>100.0</v>
      </c>
      <c r="C8" s="5" t="s">
        <v>218</v>
      </c>
    </row>
    <row r="9">
      <c r="A9" s="19" t="s">
        <v>219</v>
      </c>
      <c r="B9" s="18">
        <v>160.0</v>
      </c>
      <c r="C9" s="5" t="s">
        <v>220</v>
      </c>
    </row>
    <row r="10">
      <c r="A10" s="19" t="s">
        <v>221</v>
      </c>
      <c r="B10" s="18">
        <v>100.0</v>
      </c>
      <c r="C10" s="5" t="s">
        <v>220</v>
      </c>
    </row>
    <row r="11">
      <c r="A11" s="19" t="s">
        <v>222</v>
      </c>
      <c r="B11" s="18">
        <v>60.0</v>
      </c>
      <c r="C11" s="5" t="s">
        <v>142</v>
      </c>
    </row>
    <row r="12">
      <c r="A12" s="19" t="s">
        <v>143</v>
      </c>
      <c r="B12" s="18">
        <v>220.0</v>
      </c>
      <c r="C12" s="5" t="s">
        <v>223</v>
      </c>
    </row>
    <row r="13">
      <c r="A13" s="19" t="s">
        <v>149</v>
      </c>
      <c r="B13" s="26">
        <v>1.0</v>
      </c>
    </row>
    <row r="15">
      <c r="A15" s="8" t="s">
        <v>152</v>
      </c>
      <c r="B15" s="2"/>
      <c r="C15" s="2"/>
      <c r="D15" s="2"/>
      <c r="E15" s="2"/>
      <c r="F15" s="4"/>
    </row>
    <row r="16">
      <c r="A16" s="19" t="s">
        <v>16</v>
      </c>
      <c r="B16" s="27" t="str">
        <f t="array" ref="B16">INDEX(MaterialMaster_Range,MATCH(B7,INDEX(MaterialMaster_Range,0,1),0),3)</f>
        <v>#N/A</v>
      </c>
    </row>
    <row r="17">
      <c r="A17" s="19" t="s">
        <v>166</v>
      </c>
      <c r="B17" s="28" t="str">
        <f t="array" ref="B17">INDEX(MaterialMaster_Range,MATCH(B7,INDEX(MaterialMaster_Range,0,1),0),4)</f>
        <v>#N/A</v>
      </c>
    </row>
    <row r="18">
      <c r="A18" s="6" t="s">
        <v>175</v>
      </c>
      <c r="B18" s="29" t="str">
        <f>IF(B5="Round",(PI()/4)*(B8)^2*B11*B16/1000000,(B9)*(B10)*B11*B16/1000000)</f>
        <v>#N/A</v>
      </c>
    </row>
    <row r="19">
      <c r="A19" s="19" t="s">
        <v>182</v>
      </c>
      <c r="B19" s="30" t="str">
        <f>B18*B13</f>
        <v>#N/A</v>
      </c>
    </row>
    <row r="20">
      <c r="A20" s="6" t="s">
        <v>184</v>
      </c>
      <c r="B20" s="31" t="str">
        <f>IF(B4="No",0,B18*B17)</f>
        <v>#N/A</v>
      </c>
    </row>
    <row r="21" ht="15.75" customHeight="1">
      <c r="A21" s="19" t="s">
        <v>187</v>
      </c>
      <c r="B21" s="32" t="str">
        <f>B20*B13</f>
        <v>#N/A</v>
      </c>
    </row>
    <row r="22" ht="15.75" customHeight="1"/>
    <row r="23" ht="15.75" customHeight="1">
      <c r="A23" s="19" t="s">
        <v>201</v>
      </c>
      <c r="B23" s="18">
        <v>40.0</v>
      </c>
    </row>
    <row r="24" ht="15.75" customHeight="1">
      <c r="A24" s="19" t="s">
        <v>204</v>
      </c>
      <c r="B24" s="18">
        <v>40.0</v>
      </c>
    </row>
    <row r="25" ht="15.75" customHeight="1">
      <c r="A25" s="19" t="s">
        <v>191</v>
      </c>
      <c r="B25" s="18">
        <v>14.0</v>
      </c>
    </row>
    <row r="26" ht="15.75" customHeight="1">
      <c r="A26" s="19" t="s">
        <v>193</v>
      </c>
      <c r="B26" s="26">
        <v>4.0</v>
      </c>
    </row>
    <row r="27" ht="15.75" customHeight="1"/>
    <row r="28" ht="15.75" customHeight="1">
      <c r="A28" s="8" t="s">
        <v>231</v>
      </c>
      <c r="B28" s="2"/>
      <c r="C28" s="2"/>
      <c r="D28" s="2"/>
      <c r="E28" s="2"/>
      <c r="F28" s="4"/>
    </row>
    <row r="29" ht="15.75" customHeight="1">
      <c r="A29" s="7" t="s">
        <v>198</v>
      </c>
      <c r="B29" s="7" t="s">
        <v>106</v>
      </c>
      <c r="C29" s="7" t="s">
        <v>199</v>
      </c>
      <c r="D29" s="7" t="s">
        <v>200</v>
      </c>
      <c r="E29" s="7" t="s">
        <v>202</v>
      </c>
      <c r="F29" s="7" t="s">
        <v>203</v>
      </c>
    </row>
    <row r="30" ht="15.75" customHeight="1">
      <c r="A30" s="22" t="s">
        <v>132</v>
      </c>
      <c r="B30" s="10" t="s">
        <v>233</v>
      </c>
      <c r="C30" s="34" t="s">
        <v>15</v>
      </c>
      <c r="D30" s="30">
        <f t="array" ref="D30">INDEX(RoughTurningTable,MATCH(B12,TurningODBins,1),MATCH(B11,TurningLenBins,1))</f>
        <v>0.8</v>
      </c>
      <c r="E30" s="28">
        <f t="array" ref="E30">INDEX(MachineRateMaster_Range,MATCH("CNC Lathe",INDEX(MachineRateMaster_Range,0,1),0),2)</f>
        <v>550</v>
      </c>
      <c r="F30" s="32">
        <f t="shared" ref="F30:F32" si="1">IF(A30="Yes",D30*E30,0)</f>
        <v>440</v>
      </c>
    </row>
    <row r="31" ht="15.75" customHeight="1">
      <c r="A31" s="22" t="s">
        <v>132</v>
      </c>
      <c r="B31" s="10" t="s">
        <v>34</v>
      </c>
      <c r="C31" s="34" t="s">
        <v>31</v>
      </c>
      <c r="D31" s="30">
        <f>VLOOKUP((B23)*(B24),MillingTable,3,TRUE())</f>
        <v>0.3</v>
      </c>
      <c r="E31" s="28">
        <f t="array" ref="E31">INDEX(MachineRateMaster_Range,MATCH("Milling Machine",INDEX(MachineRateMaster_Range,0,1),0),2)</f>
        <v>350</v>
      </c>
      <c r="F31" s="32">
        <f t="shared" si="1"/>
        <v>105</v>
      </c>
    </row>
    <row r="32" ht="15.75" customHeight="1">
      <c r="A32" s="22" t="s">
        <v>132</v>
      </c>
      <c r="B32" s="10" t="s">
        <v>37</v>
      </c>
      <c r="C32" s="34" t="s">
        <v>35</v>
      </c>
      <c r="D32" s="30">
        <f>VLOOKUP(B25,DrillingTable,3,TRUE())*B26</f>
        <v>0.2</v>
      </c>
      <c r="E32" s="28">
        <f t="array" ref="E32">INDEX(MachineRateMaster_Range,MATCH("Drilling Machine",INDEX(MachineRateMaster_Range,0,1),0),2)</f>
        <v>250</v>
      </c>
      <c r="F32" s="32">
        <f t="shared" si="1"/>
        <v>50</v>
      </c>
    </row>
    <row r="33" ht="15.75" customHeight="1"/>
    <row r="34" ht="15.75" customHeight="1">
      <c r="A34" s="8" t="s">
        <v>247</v>
      </c>
      <c r="B34" s="2"/>
      <c r="C34" s="2"/>
      <c r="D34" s="2"/>
      <c r="E34" s="2"/>
      <c r="F34" s="4"/>
    </row>
    <row r="35" ht="15.75" customHeight="1">
      <c r="A35" s="6" t="s">
        <v>249</v>
      </c>
      <c r="B35" s="31">
        <f>F30+F31+F32</f>
        <v>595</v>
      </c>
    </row>
    <row r="36" ht="15.75" customHeight="1"/>
    <row r="37" ht="15.75" customHeight="1">
      <c r="A37" s="8" t="s">
        <v>251</v>
      </c>
      <c r="B37" s="2"/>
      <c r="C37" s="2"/>
      <c r="D37" s="2"/>
      <c r="E37" s="2"/>
      <c r="F37" s="4"/>
    </row>
    <row r="38" ht="15.75" customHeight="1">
      <c r="A38" s="19" t="s">
        <v>252</v>
      </c>
      <c r="B38" s="20">
        <v>0.0</v>
      </c>
    </row>
    <row r="39" ht="15.75" customHeight="1">
      <c r="A39" s="19" t="s">
        <v>20</v>
      </c>
      <c r="B39" s="39"/>
      <c r="C39" s="40"/>
      <c r="D39" s="40"/>
      <c r="E39" s="40"/>
      <c r="F39" s="41"/>
    </row>
    <row r="40" ht="15.75" customHeight="1"/>
    <row r="41" ht="15.75" customHeight="1">
      <c r="A41" s="8" t="s">
        <v>253</v>
      </c>
      <c r="B41" s="2"/>
      <c r="C41" s="2"/>
      <c r="D41" s="2"/>
      <c r="E41" s="2"/>
      <c r="F41" s="4"/>
    </row>
    <row r="42" ht="15.75" customHeight="1">
      <c r="A42" s="7" t="s">
        <v>254</v>
      </c>
      <c r="B42" s="7" t="s">
        <v>255</v>
      </c>
      <c r="C42" s="7"/>
      <c r="D42" s="7"/>
      <c r="E42" s="7"/>
      <c r="F42" s="7"/>
    </row>
    <row r="43" ht="15.75" customHeight="1">
      <c r="A43" s="19" t="s">
        <v>257</v>
      </c>
      <c r="B43" s="32" t="str">
        <f>B20</f>
        <v>#N/A</v>
      </c>
    </row>
    <row r="44" ht="15.75" customHeight="1">
      <c r="A44" s="19" t="s">
        <v>258</v>
      </c>
      <c r="B44" s="32">
        <f>B35</f>
        <v>595</v>
      </c>
    </row>
    <row r="45" ht="15.75" customHeight="1">
      <c r="A45" s="19" t="s">
        <v>259</v>
      </c>
      <c r="B45" s="32">
        <f>B38</f>
        <v>0</v>
      </c>
    </row>
    <row r="46" ht="15.75" customHeight="1">
      <c r="A46" s="6" t="s">
        <v>264</v>
      </c>
      <c r="B46" s="31" t="str">
        <f>B20+B35+B38</f>
        <v>#N/A</v>
      </c>
    </row>
    <row r="47" ht="15.75" customHeight="1">
      <c r="A47" s="6" t="s">
        <v>266</v>
      </c>
      <c r="B47" s="31" t="str">
        <f>B46*B13</f>
        <v>#N/A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5:F15"/>
    <mergeCell ref="A28:F28"/>
    <mergeCell ref="A34:F34"/>
    <mergeCell ref="A37:F37"/>
    <mergeCell ref="B39:F39"/>
    <mergeCell ref="A41:F41"/>
  </mergeCells>
  <dataValidations>
    <dataValidation type="list" allowBlank="1" sqref="B5">
      <formula1>"Round,Profile,Cuboid Block"</formula1>
    </dataValidation>
    <dataValidation type="list" allowBlank="1" sqref="B4 A30:A32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268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9" t="s">
        <v>216</v>
      </c>
    </row>
    <row r="7">
      <c r="A7" s="19" t="s">
        <v>269</v>
      </c>
      <c r="B7" s="18">
        <v>130.0</v>
      </c>
      <c r="C7" s="5" t="s">
        <v>142</v>
      </c>
    </row>
    <row r="8">
      <c r="A8" s="19" t="s">
        <v>270</v>
      </c>
      <c r="B8" s="18">
        <v>57.0</v>
      </c>
      <c r="C8" s="5" t="s">
        <v>142</v>
      </c>
    </row>
    <row r="9">
      <c r="A9" s="19" t="s">
        <v>147</v>
      </c>
      <c r="B9" s="18">
        <v>70.0</v>
      </c>
      <c r="C9" s="5" t="s">
        <v>142</v>
      </c>
    </row>
    <row r="10">
      <c r="A10" s="19" t="s">
        <v>149</v>
      </c>
      <c r="B10" s="26">
        <v>1.0</v>
      </c>
    </row>
    <row r="12">
      <c r="A12" s="8" t="s">
        <v>152</v>
      </c>
      <c r="B12" s="2"/>
      <c r="C12" s="2"/>
      <c r="D12" s="2"/>
      <c r="E12" s="2"/>
      <c r="F12" s="4"/>
    </row>
    <row r="13">
      <c r="A13" s="19" t="s">
        <v>16</v>
      </c>
      <c r="B13" s="27" t="str">
        <f t="array" ref="B13">INDEX(MaterialMaster_Range,MATCH(B6,INDEX(MaterialMaster_Range,0,1),0),3)</f>
        <v>#N/A</v>
      </c>
    </row>
    <row r="14">
      <c r="A14" s="19" t="s">
        <v>166</v>
      </c>
      <c r="B14" s="28" t="str">
        <f t="array" ref="B14">INDEX(MaterialMaster_Range,MATCH(B6,INDEX(MaterialMaster_Range,0,1),0),4)</f>
        <v>#N/A</v>
      </c>
    </row>
    <row r="15">
      <c r="A15" s="6" t="s">
        <v>175</v>
      </c>
      <c r="B15" s="29" t="str">
        <f>(PI()/4)*((B7)^2-(B8)^2)*B9*B13/1000000</f>
        <v>#N/A</v>
      </c>
    </row>
    <row r="16">
      <c r="A16" s="19" t="s">
        <v>182</v>
      </c>
      <c r="B16" s="30" t="str">
        <f>B15*B10</f>
        <v>#N/A</v>
      </c>
    </row>
    <row r="17">
      <c r="A17" s="6" t="s">
        <v>184</v>
      </c>
      <c r="B17" s="31" t="str">
        <f>IF(B4="No",0,B15*B14)</f>
        <v>#N/A</v>
      </c>
    </row>
    <row r="18">
      <c r="A18" s="19" t="s">
        <v>187</v>
      </c>
      <c r="B18" s="32" t="str">
        <f>B17*B10</f>
        <v>#N/A</v>
      </c>
    </row>
    <row r="20">
      <c r="A20" s="19" t="s">
        <v>278</v>
      </c>
      <c r="B20" s="18">
        <v>30.0</v>
      </c>
    </row>
    <row r="21" ht="15.75" customHeight="1">
      <c r="A21" s="19" t="s">
        <v>280</v>
      </c>
      <c r="B21" s="18">
        <v>30.0</v>
      </c>
    </row>
    <row r="22" ht="15.75" customHeight="1">
      <c r="A22" s="19" t="s">
        <v>281</v>
      </c>
      <c r="B22" s="18">
        <v>10.0</v>
      </c>
    </row>
    <row r="23" ht="15.75" customHeight="1">
      <c r="A23" s="19" t="s">
        <v>193</v>
      </c>
      <c r="B23" s="26">
        <v>2.0</v>
      </c>
    </row>
    <row r="24" ht="15.75" customHeight="1"/>
    <row r="25" ht="15.75" customHeight="1">
      <c r="A25" s="8" t="s">
        <v>231</v>
      </c>
      <c r="B25" s="2"/>
      <c r="C25" s="2"/>
      <c r="D25" s="2"/>
      <c r="E25" s="2"/>
      <c r="F25" s="4"/>
    </row>
    <row r="26" ht="15.75" customHeight="1">
      <c r="A26" s="7" t="s">
        <v>198</v>
      </c>
      <c r="B26" s="7" t="s">
        <v>106</v>
      </c>
      <c r="C26" s="7" t="s">
        <v>199</v>
      </c>
      <c r="D26" s="7" t="s">
        <v>200</v>
      </c>
      <c r="E26" s="7" t="s">
        <v>202</v>
      </c>
      <c r="F26" s="7" t="s">
        <v>203</v>
      </c>
    </row>
    <row r="27" ht="15.75" customHeight="1">
      <c r="A27" s="22" t="s">
        <v>132</v>
      </c>
      <c r="B27" s="10" t="s">
        <v>233</v>
      </c>
      <c r="C27" s="34" t="s">
        <v>15</v>
      </c>
      <c r="D27" s="30">
        <f t="array" ref="D27">INDEX(RoughTurningTable,MATCH(B7,TurningODBins,1),MATCH(B9,TurningLenBins,1))</f>
        <v>0.5</v>
      </c>
      <c r="E27" s="28">
        <f t="array" ref="E27">INDEX(MachineRateMaster_Range,MATCH("CNC Lathe",INDEX(MachineRateMaster_Range,0,1),0),2)</f>
        <v>550</v>
      </c>
      <c r="F27" s="32">
        <f t="shared" ref="F27:F30" si="1">IF(A27="Yes",D27*E27,0)</f>
        <v>275</v>
      </c>
    </row>
    <row r="28" ht="15.75" customHeight="1">
      <c r="A28" s="22" t="s">
        <v>132</v>
      </c>
      <c r="B28" s="10" t="s">
        <v>34</v>
      </c>
      <c r="C28" s="34" t="s">
        <v>31</v>
      </c>
      <c r="D28" s="30">
        <f>VLOOKUP((B20)*(B21),MillingTable,3,TRUE())</f>
        <v>0.3</v>
      </c>
      <c r="E28" s="28">
        <f t="array" ref="E28">INDEX(MachineRateMaster_Range,MATCH("Milling Machine",INDEX(MachineRateMaster_Range,0,1),0),2)</f>
        <v>350</v>
      </c>
      <c r="F28" s="32">
        <f t="shared" si="1"/>
        <v>105</v>
      </c>
    </row>
    <row r="29" ht="15.75" customHeight="1">
      <c r="A29" s="22" t="s">
        <v>132</v>
      </c>
      <c r="B29" s="10" t="s">
        <v>37</v>
      </c>
      <c r="C29" s="34" t="s">
        <v>35</v>
      </c>
      <c r="D29" s="30">
        <f>VLOOKUP(B22,DrillingTable,3,TRUE())*B23</f>
        <v>0.06</v>
      </c>
      <c r="E29" s="28">
        <f t="array" ref="E29">INDEX(MachineRateMaster_Range,MATCH("Drilling Machine",INDEX(MachineRateMaster_Range,0,1),0),2)</f>
        <v>250</v>
      </c>
      <c r="F29" s="32">
        <f t="shared" si="1"/>
        <v>15</v>
      </c>
    </row>
    <row r="30" ht="15.75" customHeight="1">
      <c r="A30" s="22" t="s">
        <v>132</v>
      </c>
      <c r="B30" s="10" t="s">
        <v>284</v>
      </c>
      <c r="C30" s="34" t="s">
        <v>232</v>
      </c>
      <c r="D30" s="30">
        <f>PI()*B8*B9/100</f>
        <v>125.3495469</v>
      </c>
      <c r="E30" s="28">
        <f>GrindingRate</f>
        <v>0.4</v>
      </c>
      <c r="F30" s="32">
        <f t="shared" si="1"/>
        <v>50.13981875</v>
      </c>
    </row>
    <row r="31" ht="15.75" customHeight="1"/>
    <row r="32" ht="15.75" customHeight="1">
      <c r="A32" s="8" t="s">
        <v>247</v>
      </c>
      <c r="B32" s="2"/>
      <c r="C32" s="2"/>
      <c r="D32" s="2"/>
      <c r="E32" s="2"/>
      <c r="F32" s="4"/>
    </row>
    <row r="33" ht="15.75" customHeight="1">
      <c r="A33" s="6" t="s">
        <v>249</v>
      </c>
      <c r="B33" s="31">
        <f>F27+F28+F29+F30</f>
        <v>445.1398188</v>
      </c>
    </row>
    <row r="34" ht="15.75" customHeight="1"/>
    <row r="35" ht="15.75" customHeight="1">
      <c r="A35" s="8" t="s">
        <v>251</v>
      </c>
      <c r="B35" s="2"/>
      <c r="C35" s="2"/>
      <c r="D35" s="2"/>
      <c r="E35" s="2"/>
      <c r="F35" s="4"/>
    </row>
    <row r="36" ht="15.75" customHeight="1">
      <c r="A36" s="19" t="s">
        <v>252</v>
      </c>
      <c r="B36" s="20">
        <v>0.0</v>
      </c>
    </row>
    <row r="37" ht="15.75" customHeight="1">
      <c r="A37" s="19" t="s">
        <v>20</v>
      </c>
      <c r="B37" s="39"/>
      <c r="C37" s="40"/>
      <c r="D37" s="40"/>
      <c r="E37" s="40"/>
      <c r="F37" s="41"/>
    </row>
    <row r="38" ht="15.75" customHeight="1"/>
    <row r="39" ht="15.75" customHeight="1">
      <c r="A39" s="8" t="s">
        <v>253</v>
      </c>
      <c r="B39" s="2"/>
      <c r="C39" s="2"/>
      <c r="D39" s="2"/>
      <c r="E39" s="2"/>
      <c r="F39" s="4"/>
    </row>
    <row r="40" ht="15.75" customHeight="1">
      <c r="A40" s="7" t="s">
        <v>254</v>
      </c>
      <c r="B40" s="7" t="s">
        <v>255</v>
      </c>
      <c r="C40" s="7"/>
      <c r="D40" s="7"/>
      <c r="E40" s="7"/>
      <c r="F40" s="7"/>
    </row>
    <row r="41" ht="15.75" customHeight="1">
      <c r="A41" s="19" t="s">
        <v>257</v>
      </c>
      <c r="B41" s="32" t="str">
        <f>B17</f>
        <v>#N/A</v>
      </c>
    </row>
    <row r="42" ht="15.75" customHeight="1">
      <c r="A42" s="19" t="s">
        <v>258</v>
      </c>
      <c r="B42" s="32">
        <f>B33</f>
        <v>445.1398188</v>
      </c>
    </row>
    <row r="43" ht="15.75" customHeight="1">
      <c r="A43" s="19" t="s">
        <v>259</v>
      </c>
      <c r="B43" s="32">
        <f>B36</f>
        <v>0</v>
      </c>
    </row>
    <row r="44" ht="15.75" customHeight="1">
      <c r="A44" s="6" t="s">
        <v>286</v>
      </c>
      <c r="B44" s="31" t="str">
        <f>B17+B33+B36</f>
        <v>#N/A</v>
      </c>
    </row>
    <row r="45" ht="15.75" customHeight="1">
      <c r="A45" s="6" t="s">
        <v>288</v>
      </c>
      <c r="B45" s="31" t="str">
        <f>B44*B10</f>
        <v>#N/A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2:F12"/>
    <mergeCell ref="A25:F25"/>
    <mergeCell ref="A32:F32"/>
    <mergeCell ref="A35:F35"/>
    <mergeCell ref="B37:F37"/>
    <mergeCell ref="A39:F39"/>
  </mergeCells>
  <dataValidations>
    <dataValidation type="list" allowBlank="1" sqref="B4 A27:A3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271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9" t="s">
        <v>78</v>
      </c>
    </row>
    <row r="7">
      <c r="A7" s="19" t="s">
        <v>269</v>
      </c>
      <c r="B7" s="18">
        <v>130.0</v>
      </c>
      <c r="C7" s="5" t="s">
        <v>142</v>
      </c>
    </row>
    <row r="8">
      <c r="A8" s="19" t="s">
        <v>270</v>
      </c>
      <c r="B8" s="18">
        <v>57.0</v>
      </c>
      <c r="C8" s="5" t="s">
        <v>142</v>
      </c>
    </row>
    <row r="9">
      <c r="A9" s="19" t="s">
        <v>147</v>
      </c>
      <c r="B9" s="18">
        <v>70.0</v>
      </c>
      <c r="C9" s="5" t="s">
        <v>142</v>
      </c>
    </row>
    <row r="10">
      <c r="A10" s="19" t="s">
        <v>149</v>
      </c>
      <c r="B10" s="26">
        <v>1.0</v>
      </c>
    </row>
    <row r="12">
      <c r="A12" s="8" t="s">
        <v>152</v>
      </c>
      <c r="B12" s="2"/>
      <c r="C12" s="2"/>
      <c r="D12" s="2"/>
      <c r="E12" s="2"/>
      <c r="F12" s="4"/>
    </row>
    <row r="13">
      <c r="A13" s="19" t="s">
        <v>16</v>
      </c>
      <c r="B13" s="27">
        <f t="array" ref="B13">INDEX(MaterialMaster_Range,MATCH(B6,INDEX(MaterialMaster_Range,0,1),0),3)</f>
        <v>8.9</v>
      </c>
    </row>
    <row r="14">
      <c r="A14" s="19" t="s">
        <v>166</v>
      </c>
      <c r="B14" s="28">
        <f t="array" ref="B14">INDEX(MaterialMaster_Range,MATCH(B6,INDEX(MaterialMaster_Range,0,1),0),4)</f>
        <v>520</v>
      </c>
    </row>
    <row r="15">
      <c r="A15" s="6" t="s">
        <v>175</v>
      </c>
      <c r="B15" s="29">
        <f>(PI()/4)*((B7)^2-(B8)^2)*B9*B13/1000000</f>
        <v>6.679476015</v>
      </c>
    </row>
    <row r="16">
      <c r="A16" s="19" t="s">
        <v>182</v>
      </c>
      <c r="B16" s="30">
        <f>B15*B10</f>
        <v>6.679476015</v>
      </c>
    </row>
    <row r="17">
      <c r="A17" s="6" t="s">
        <v>184</v>
      </c>
      <c r="B17" s="31">
        <f>IF(B4="No",0,B15*B14)</f>
        <v>3473.327528</v>
      </c>
    </row>
    <row r="18">
      <c r="A18" s="19" t="s">
        <v>187</v>
      </c>
      <c r="B18" s="32">
        <f>B17*B10</f>
        <v>3473.327528</v>
      </c>
    </row>
    <row r="21" ht="15.75" customHeight="1">
      <c r="A21" s="8" t="s">
        <v>231</v>
      </c>
      <c r="B21" s="2"/>
      <c r="C21" s="2"/>
      <c r="D21" s="2"/>
      <c r="E21" s="2"/>
      <c r="F21" s="4"/>
    </row>
    <row r="22" ht="15.75" customHeight="1">
      <c r="A22" s="7" t="s">
        <v>198</v>
      </c>
      <c r="B22" s="7" t="s">
        <v>106</v>
      </c>
      <c r="C22" s="7" t="s">
        <v>199</v>
      </c>
      <c r="D22" s="7" t="s">
        <v>200</v>
      </c>
      <c r="E22" s="7" t="s">
        <v>202</v>
      </c>
      <c r="F22" s="7" t="s">
        <v>203</v>
      </c>
    </row>
    <row r="23" ht="15.75" customHeight="1">
      <c r="A23" s="22" t="s">
        <v>132</v>
      </c>
      <c r="B23" s="10" t="s">
        <v>233</v>
      </c>
      <c r="C23" s="34" t="s">
        <v>15</v>
      </c>
      <c r="D23" s="30">
        <f t="array" ref="D23">INDEX(RoughTurningTable,MATCH(B7,TurningODBins,1),MATCH(B9,TurningLenBins,1))</f>
        <v>0.5</v>
      </c>
      <c r="E23" s="28">
        <f t="array" ref="E23">INDEX(MachineRateMaster_Range,MATCH("CNC Lathe",INDEX(MachineRateMaster_Range,0,1),0),2)</f>
        <v>550</v>
      </c>
      <c r="F23" s="32">
        <f t="shared" ref="F23:F24" si="1">IF(A23="Yes",D23*E23,0)</f>
        <v>275</v>
      </c>
    </row>
    <row r="24" ht="15.75" customHeight="1">
      <c r="A24" s="22" t="s">
        <v>132</v>
      </c>
      <c r="B24" s="10" t="s">
        <v>284</v>
      </c>
      <c r="C24" s="34" t="s">
        <v>232</v>
      </c>
      <c r="D24" s="30">
        <f>PI()*B8*B9/100</f>
        <v>125.3495469</v>
      </c>
      <c r="E24" s="28">
        <f>GrindingRate</f>
        <v>0.4</v>
      </c>
      <c r="F24" s="32">
        <f t="shared" si="1"/>
        <v>50.13981875</v>
      </c>
    </row>
    <row r="25" ht="15.75" customHeight="1"/>
    <row r="26" ht="15.75" customHeight="1">
      <c r="A26" s="8" t="s">
        <v>247</v>
      </c>
      <c r="B26" s="2"/>
      <c r="C26" s="2"/>
      <c r="D26" s="2"/>
      <c r="E26" s="2"/>
      <c r="F26" s="4"/>
    </row>
    <row r="27" ht="15.75" customHeight="1">
      <c r="A27" s="6" t="s">
        <v>249</v>
      </c>
      <c r="B27" s="31">
        <f>F23+F24</f>
        <v>325.1398188</v>
      </c>
    </row>
    <row r="28" ht="15.75" customHeight="1"/>
    <row r="29" ht="15.75" customHeight="1">
      <c r="A29" s="8" t="s">
        <v>251</v>
      </c>
      <c r="B29" s="2"/>
      <c r="C29" s="2"/>
      <c r="D29" s="2"/>
      <c r="E29" s="2"/>
      <c r="F29" s="4"/>
    </row>
    <row r="30" ht="15.75" customHeight="1">
      <c r="A30" s="19" t="s">
        <v>252</v>
      </c>
      <c r="B30" s="20">
        <v>0.0</v>
      </c>
    </row>
    <row r="31" ht="15.75" customHeight="1">
      <c r="A31" s="19" t="s">
        <v>20</v>
      </c>
      <c r="B31" s="39"/>
      <c r="C31" s="40"/>
      <c r="D31" s="40"/>
      <c r="E31" s="40"/>
      <c r="F31" s="41"/>
    </row>
    <row r="32" ht="15.75" customHeight="1"/>
    <row r="33" ht="15.75" customHeight="1">
      <c r="A33" s="8" t="s">
        <v>253</v>
      </c>
      <c r="B33" s="2"/>
      <c r="C33" s="2"/>
      <c r="D33" s="2"/>
      <c r="E33" s="2"/>
      <c r="F33" s="4"/>
    </row>
    <row r="34" ht="15.75" customHeight="1">
      <c r="A34" s="7" t="s">
        <v>254</v>
      </c>
      <c r="B34" s="7" t="s">
        <v>255</v>
      </c>
      <c r="C34" s="7"/>
      <c r="D34" s="7"/>
      <c r="E34" s="7"/>
      <c r="F34" s="7"/>
    </row>
    <row r="35" ht="15.75" customHeight="1">
      <c r="A35" s="19" t="s">
        <v>257</v>
      </c>
      <c r="B35" s="32">
        <f>B17</f>
        <v>3473.327528</v>
      </c>
    </row>
    <row r="36" ht="15.75" customHeight="1">
      <c r="A36" s="19" t="s">
        <v>258</v>
      </c>
      <c r="B36" s="32">
        <f>B27</f>
        <v>325.1398188</v>
      </c>
    </row>
    <row r="37" ht="15.75" customHeight="1">
      <c r="A37" s="19" t="s">
        <v>259</v>
      </c>
      <c r="B37" s="32">
        <f>B30</f>
        <v>0</v>
      </c>
    </row>
    <row r="38" ht="15.75" customHeight="1">
      <c r="A38" s="6" t="s">
        <v>285</v>
      </c>
      <c r="B38" s="31">
        <f>B17+B27+B30</f>
        <v>3798.467346</v>
      </c>
    </row>
    <row r="39" ht="15.75" customHeight="1">
      <c r="A39" s="6" t="s">
        <v>287</v>
      </c>
      <c r="B39" s="31">
        <f>B38*B10</f>
        <v>3798.467346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2:F12"/>
    <mergeCell ref="A21:F21"/>
    <mergeCell ref="A26:F26"/>
    <mergeCell ref="A29:F29"/>
    <mergeCell ref="B31:F31"/>
    <mergeCell ref="A33:F33"/>
  </mergeCells>
  <dataValidations>
    <dataValidation type="list" allowBlank="1" sqref="B4 A23:A24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9.71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272</v>
      </c>
      <c r="B1" s="2"/>
      <c r="C1" s="2"/>
      <c r="D1" s="2"/>
      <c r="E1" s="2"/>
      <c r="F1" s="4"/>
    </row>
    <row r="2">
      <c r="A2" s="5" t="s">
        <v>274</v>
      </c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9" t="s">
        <v>277</v>
      </c>
    </row>
    <row r="7">
      <c r="A7" s="19" t="s">
        <v>169</v>
      </c>
      <c r="B7" s="18">
        <v>60.0</v>
      </c>
      <c r="C7" s="5" t="s">
        <v>142</v>
      </c>
    </row>
    <row r="8">
      <c r="A8" s="19" t="s">
        <v>171</v>
      </c>
      <c r="B8" s="18">
        <v>56.0</v>
      </c>
      <c r="C8" s="5" t="s">
        <v>142</v>
      </c>
    </row>
    <row r="9">
      <c r="A9" s="19" t="s">
        <v>147</v>
      </c>
      <c r="B9" s="18">
        <v>150.0</v>
      </c>
      <c r="C9" s="5" t="s">
        <v>142</v>
      </c>
    </row>
    <row r="10">
      <c r="A10" s="19" t="s">
        <v>149</v>
      </c>
      <c r="B10" s="26">
        <v>1.0</v>
      </c>
    </row>
    <row r="12">
      <c r="A12" s="8" t="s">
        <v>152</v>
      </c>
      <c r="B12" s="2"/>
      <c r="C12" s="2"/>
      <c r="D12" s="2"/>
      <c r="E12" s="2"/>
      <c r="F12" s="4"/>
    </row>
    <row r="13">
      <c r="A13" s="19" t="s">
        <v>16</v>
      </c>
      <c r="B13" s="27" t="str">
        <f t="array" ref="B13">INDEX(MaterialMaster_Range,MATCH(B6,INDEX(MaterialMaster_Range,0,1),0),3)</f>
        <v>#N/A</v>
      </c>
    </row>
    <row r="14">
      <c r="A14" s="19" t="s">
        <v>166</v>
      </c>
      <c r="B14" s="28" t="str">
        <f t="array" ref="B14">INDEX(MaterialMaster_Range,MATCH(B6,INDEX(MaterialMaster_Range,0,1),0),4)</f>
        <v>#N/A</v>
      </c>
    </row>
    <row r="15">
      <c r="A15" s="6" t="s">
        <v>175</v>
      </c>
      <c r="B15" s="29" t="str">
        <f>(PI()/4)*((B7)^2)*B9*B13/1000000</f>
        <v>#N/A</v>
      </c>
    </row>
    <row r="16">
      <c r="A16" s="19" t="s">
        <v>182</v>
      </c>
      <c r="B16" s="30" t="str">
        <f>B15*B10</f>
        <v>#N/A</v>
      </c>
    </row>
    <row r="17">
      <c r="A17" s="6" t="s">
        <v>184</v>
      </c>
      <c r="B17" s="31" t="str">
        <f>IF(B4="No",0,B15*B14)</f>
        <v>#N/A</v>
      </c>
    </row>
    <row r="18">
      <c r="A18" s="19" t="s">
        <v>187</v>
      </c>
      <c r="B18" s="32" t="str">
        <f>B17*B10</f>
        <v>#N/A</v>
      </c>
    </row>
    <row r="20">
      <c r="A20" s="8" t="s">
        <v>231</v>
      </c>
      <c r="B20" s="2"/>
      <c r="C20" s="2"/>
      <c r="D20" s="2"/>
      <c r="E20" s="2"/>
      <c r="F20" s="4"/>
    </row>
    <row r="21" ht="15.75" customHeight="1">
      <c r="A21" s="7" t="s">
        <v>198</v>
      </c>
      <c r="B21" s="7" t="s">
        <v>106</v>
      </c>
      <c r="C21" s="7" t="s">
        <v>199</v>
      </c>
      <c r="D21" s="7" t="s">
        <v>200</v>
      </c>
      <c r="E21" s="7" t="s">
        <v>202</v>
      </c>
      <c r="F21" s="7" t="s">
        <v>203</v>
      </c>
    </row>
    <row r="22" ht="15.75" customHeight="1">
      <c r="A22" s="22" t="s">
        <v>132</v>
      </c>
      <c r="B22" s="10" t="s">
        <v>233</v>
      </c>
      <c r="C22" s="34" t="s">
        <v>15</v>
      </c>
      <c r="D22" s="30">
        <f t="array" ref="D22">INDEX(RoughTurningTable,MATCH(B8,TurningODBins,1),MATCH(B9,TurningLenBins,1))*VLOOKUP((B7-B8),StockRemovalTable,3,TRUE())</f>
        <v>0.345</v>
      </c>
      <c r="E22" s="28">
        <f t="array" ref="E22">INDEX(MachineRateMaster_Range,MATCH("CNC Lathe",INDEX(MachineRateMaster_Range,0,1),0),2)</f>
        <v>550</v>
      </c>
      <c r="F22" s="32">
        <f>IF(A22="Yes",D22*E22,0)</f>
        <v>189.75</v>
      </c>
    </row>
    <row r="23" ht="15.75" customHeight="1"/>
    <row r="24" ht="15.75" customHeight="1">
      <c r="A24" s="8" t="s">
        <v>247</v>
      </c>
      <c r="B24" s="2"/>
      <c r="C24" s="2"/>
      <c r="D24" s="2"/>
      <c r="E24" s="2"/>
      <c r="F24" s="4"/>
    </row>
    <row r="25" ht="15.75" customHeight="1">
      <c r="A25" s="6" t="s">
        <v>249</v>
      </c>
      <c r="B25" s="31">
        <f>F22</f>
        <v>189.75</v>
      </c>
    </row>
    <row r="26" ht="15.75" customHeight="1"/>
    <row r="27" ht="15.75" customHeight="1">
      <c r="A27" s="8" t="s">
        <v>251</v>
      </c>
      <c r="B27" s="2"/>
      <c r="C27" s="2"/>
      <c r="D27" s="2"/>
      <c r="E27" s="2"/>
      <c r="F27" s="4"/>
    </row>
    <row r="28" ht="15.75" customHeight="1">
      <c r="A28" s="19" t="s">
        <v>252</v>
      </c>
      <c r="B28" s="20">
        <v>0.0</v>
      </c>
    </row>
    <row r="29" ht="15.75" customHeight="1">
      <c r="A29" s="19" t="s">
        <v>20</v>
      </c>
      <c r="B29" s="39"/>
      <c r="C29" s="40"/>
      <c r="D29" s="40"/>
      <c r="E29" s="40"/>
      <c r="F29" s="41"/>
    </row>
    <row r="30" ht="15.75" customHeight="1"/>
    <row r="31" ht="15.75" customHeight="1">
      <c r="A31" s="8" t="s">
        <v>253</v>
      </c>
      <c r="B31" s="2"/>
      <c r="C31" s="2"/>
      <c r="D31" s="2"/>
      <c r="E31" s="2"/>
      <c r="F31" s="4"/>
    </row>
    <row r="32" ht="15.75" customHeight="1">
      <c r="A32" s="7" t="s">
        <v>254</v>
      </c>
      <c r="B32" s="7" t="s">
        <v>255</v>
      </c>
      <c r="C32" s="7"/>
      <c r="D32" s="7"/>
      <c r="E32" s="7"/>
      <c r="F32" s="7"/>
    </row>
    <row r="33" ht="15.75" customHeight="1">
      <c r="A33" s="19" t="s">
        <v>257</v>
      </c>
      <c r="B33" s="32" t="str">
        <f>B17</f>
        <v>#N/A</v>
      </c>
    </row>
    <row r="34" ht="15.75" customHeight="1">
      <c r="A34" s="19" t="s">
        <v>258</v>
      </c>
      <c r="B34" s="32">
        <f>B25</f>
        <v>189.75</v>
      </c>
    </row>
    <row r="35" ht="15.75" customHeight="1">
      <c r="A35" s="19" t="s">
        <v>259</v>
      </c>
      <c r="B35" s="32">
        <f>B28</f>
        <v>0</v>
      </c>
    </row>
    <row r="36" ht="15.75" customHeight="1">
      <c r="A36" s="6" t="s">
        <v>289</v>
      </c>
      <c r="B36" s="31" t="str">
        <f>B17+B25+B28</f>
        <v>#N/A</v>
      </c>
    </row>
    <row r="37" ht="15.75" customHeight="1">
      <c r="A37" s="6" t="s">
        <v>290</v>
      </c>
      <c r="B37" s="31" t="str">
        <f>B36*B10</f>
        <v>#N/A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2:F12"/>
    <mergeCell ref="A20:F20"/>
    <mergeCell ref="A24:F24"/>
    <mergeCell ref="A27:F27"/>
    <mergeCell ref="B29:F29"/>
    <mergeCell ref="A31:F31"/>
  </mergeCells>
  <dataValidations>
    <dataValidation type="list" allowBlank="1" sqref="B4 A22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273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9" t="s">
        <v>275</v>
      </c>
    </row>
    <row r="7">
      <c r="A7" s="19" t="s">
        <v>276</v>
      </c>
      <c r="B7" s="18">
        <v>40.0</v>
      </c>
      <c r="C7" s="5" t="s">
        <v>142</v>
      </c>
    </row>
    <row r="8">
      <c r="A8" s="19" t="s">
        <v>219</v>
      </c>
      <c r="B8" s="18">
        <v>160.0</v>
      </c>
      <c r="C8" s="5" t="s">
        <v>142</v>
      </c>
    </row>
    <row r="9">
      <c r="A9" s="19" t="s">
        <v>221</v>
      </c>
      <c r="B9" s="18">
        <v>200.0</v>
      </c>
      <c r="C9" s="5" t="s">
        <v>142</v>
      </c>
    </row>
    <row r="10">
      <c r="A10" s="19" t="s">
        <v>279</v>
      </c>
      <c r="B10" s="18">
        <v>56.0</v>
      </c>
      <c r="C10" s="5" t="s">
        <v>142</v>
      </c>
    </row>
    <row r="11">
      <c r="A11" s="19" t="s">
        <v>149</v>
      </c>
      <c r="B11" s="26">
        <v>1.0</v>
      </c>
    </row>
    <row r="13">
      <c r="A13" s="8" t="s">
        <v>152</v>
      </c>
      <c r="B13" s="2"/>
      <c r="C13" s="2"/>
      <c r="D13" s="2"/>
      <c r="E13" s="2"/>
      <c r="F13" s="4"/>
    </row>
    <row r="14">
      <c r="A14" s="19" t="s">
        <v>16</v>
      </c>
      <c r="B14" s="27" t="str">
        <f t="array" ref="B14">INDEX(MaterialMaster_Range,MATCH(B6,INDEX(MaterialMaster_Range,0,1),0),3)</f>
        <v>#N/A</v>
      </c>
    </row>
    <row r="15">
      <c r="A15" s="19" t="s">
        <v>166</v>
      </c>
      <c r="B15" s="28" t="str">
        <f t="array" ref="B15">INDEX(MaterialMaster_Range,MATCH(B6,INDEX(MaterialMaster_Range,0,1),0),4)</f>
        <v>#N/A</v>
      </c>
    </row>
    <row r="16">
      <c r="A16" s="6" t="s">
        <v>175</v>
      </c>
      <c r="B16" s="29" t="str">
        <f>(B8)*(B9)*(B7)*B14/1000000</f>
        <v>#N/A</v>
      </c>
    </row>
    <row r="17">
      <c r="A17" s="19" t="s">
        <v>182</v>
      </c>
      <c r="B17" s="30" t="str">
        <f>B16*B11</f>
        <v>#N/A</v>
      </c>
    </row>
    <row r="18">
      <c r="A18" s="6" t="s">
        <v>184</v>
      </c>
      <c r="B18" s="31" t="str">
        <f>IF(B4="No",0,B16*B15)</f>
        <v>#N/A</v>
      </c>
    </row>
    <row r="19">
      <c r="A19" s="19" t="s">
        <v>187</v>
      </c>
      <c r="B19" s="32" t="str">
        <f>B18*B11</f>
        <v>#N/A</v>
      </c>
    </row>
    <row r="21" ht="15.75" customHeight="1">
      <c r="A21" s="19" t="s">
        <v>282</v>
      </c>
      <c r="B21" s="26">
        <v>1.0</v>
      </c>
    </row>
    <row r="22" ht="15.75" customHeight="1"/>
    <row r="23" ht="15.75" customHeight="1">
      <c r="A23" s="8" t="s">
        <v>231</v>
      </c>
      <c r="B23" s="2"/>
      <c r="C23" s="2"/>
      <c r="D23" s="2"/>
      <c r="E23" s="2"/>
      <c r="F23" s="4"/>
    </row>
    <row r="24" ht="15.75" customHeight="1">
      <c r="A24" s="7" t="s">
        <v>198</v>
      </c>
      <c r="B24" s="7" t="s">
        <v>106</v>
      </c>
      <c r="C24" s="7" t="s">
        <v>199</v>
      </c>
      <c r="D24" s="7" t="s">
        <v>200</v>
      </c>
      <c r="E24" s="7" t="s">
        <v>202</v>
      </c>
      <c r="F24" s="7" t="s">
        <v>203</v>
      </c>
    </row>
    <row r="25" ht="15.75" customHeight="1">
      <c r="A25" s="22" t="s">
        <v>132</v>
      </c>
      <c r="B25" s="10" t="s">
        <v>119</v>
      </c>
      <c r="C25" s="34" t="s">
        <v>283</v>
      </c>
      <c r="D25" s="30" t="str">
        <f>B16</f>
        <v>#N/A</v>
      </c>
      <c r="E25" s="28">
        <f>ProfileCuttingRate</f>
        <v>1.25</v>
      </c>
      <c r="F25" s="32" t="str">
        <f t="shared" ref="F25:F27" si="1">IF(A25="Yes",D25*E25,0)</f>
        <v>#N/A</v>
      </c>
    </row>
    <row r="26" ht="15.75" customHeight="1">
      <c r="A26" s="22" t="s">
        <v>132</v>
      </c>
      <c r="B26" s="10" t="s">
        <v>34</v>
      </c>
      <c r="C26" s="34" t="s">
        <v>31</v>
      </c>
      <c r="D26" s="30">
        <f>VLOOKUP((B8)*(B9),MillingTable,3,TRUE())</f>
        <v>1</v>
      </c>
      <c r="E26" s="28">
        <f t="array" ref="E26">INDEX(MachineRateMaster_Range,MATCH("Milling Machine",INDEX(MachineRateMaster_Range,0,1),0),2)</f>
        <v>350</v>
      </c>
      <c r="F26" s="32">
        <f t="shared" si="1"/>
        <v>350</v>
      </c>
    </row>
    <row r="27" ht="15.75" customHeight="1">
      <c r="A27" s="22" t="s">
        <v>132</v>
      </c>
      <c r="B27" s="10" t="s">
        <v>37</v>
      </c>
      <c r="C27" s="34" t="s">
        <v>35</v>
      </c>
      <c r="D27" s="30">
        <f>VLOOKUP(B10,DrillingTable,3,TRUE())*B21</f>
        <v>0.12</v>
      </c>
      <c r="E27" s="28">
        <f t="array" ref="E27">INDEX(MachineRateMaster_Range,MATCH("Drilling Machine",INDEX(MachineRateMaster_Range,0,1),0),2)</f>
        <v>250</v>
      </c>
      <c r="F27" s="32">
        <f t="shared" si="1"/>
        <v>30</v>
      </c>
    </row>
    <row r="28" ht="15.75" customHeight="1"/>
    <row r="29" ht="15.75" customHeight="1">
      <c r="A29" s="8" t="s">
        <v>247</v>
      </c>
      <c r="B29" s="2"/>
      <c r="C29" s="2"/>
      <c r="D29" s="2"/>
      <c r="E29" s="2"/>
      <c r="F29" s="4"/>
    </row>
    <row r="30" ht="15.75" customHeight="1">
      <c r="A30" s="6" t="s">
        <v>249</v>
      </c>
      <c r="B30" s="31" t="str">
        <f>F25+F26+F27</f>
        <v>#N/A</v>
      </c>
    </row>
    <row r="31" ht="15.75" customHeight="1"/>
    <row r="32" ht="15.75" customHeight="1">
      <c r="A32" s="8" t="s">
        <v>251</v>
      </c>
      <c r="B32" s="2"/>
      <c r="C32" s="2"/>
      <c r="D32" s="2"/>
      <c r="E32" s="2"/>
      <c r="F32" s="4"/>
    </row>
    <row r="33" ht="15.75" customHeight="1">
      <c r="A33" s="19" t="s">
        <v>252</v>
      </c>
      <c r="B33" s="20">
        <v>0.0</v>
      </c>
    </row>
    <row r="34" ht="15.75" customHeight="1">
      <c r="A34" s="19" t="s">
        <v>20</v>
      </c>
      <c r="B34" s="39"/>
      <c r="C34" s="40"/>
      <c r="D34" s="40"/>
      <c r="E34" s="40"/>
      <c r="F34" s="41"/>
    </row>
    <row r="35" ht="15.75" customHeight="1"/>
    <row r="36" ht="15.75" customHeight="1">
      <c r="A36" s="8" t="s">
        <v>253</v>
      </c>
      <c r="B36" s="2"/>
      <c r="C36" s="2"/>
      <c r="D36" s="2"/>
      <c r="E36" s="2"/>
      <c r="F36" s="4"/>
    </row>
    <row r="37" ht="15.75" customHeight="1">
      <c r="A37" s="7" t="s">
        <v>254</v>
      </c>
      <c r="B37" s="7" t="s">
        <v>255</v>
      </c>
      <c r="C37" s="7"/>
      <c r="D37" s="7"/>
      <c r="E37" s="7"/>
      <c r="F37" s="7"/>
    </row>
    <row r="38" ht="15.75" customHeight="1">
      <c r="A38" s="19" t="s">
        <v>257</v>
      </c>
      <c r="B38" s="32" t="str">
        <f>B18</f>
        <v>#N/A</v>
      </c>
    </row>
    <row r="39" ht="15.75" customHeight="1">
      <c r="A39" s="19" t="s">
        <v>258</v>
      </c>
      <c r="B39" s="32" t="str">
        <f>B30</f>
        <v>#N/A</v>
      </c>
    </row>
    <row r="40" ht="15.75" customHeight="1">
      <c r="A40" s="19" t="s">
        <v>259</v>
      </c>
      <c r="B40" s="32">
        <f>B33</f>
        <v>0</v>
      </c>
    </row>
    <row r="41" ht="15.75" customHeight="1">
      <c r="A41" s="6" t="s">
        <v>291</v>
      </c>
      <c r="B41" s="31" t="str">
        <f>B18+B30+B33</f>
        <v>#N/A</v>
      </c>
    </row>
    <row r="42" ht="15.75" customHeight="1">
      <c r="A42" s="6" t="s">
        <v>292</v>
      </c>
      <c r="B42" s="31" t="str">
        <f>B41*B11</f>
        <v>#N/A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3:F13"/>
    <mergeCell ref="A23:F23"/>
    <mergeCell ref="A29:F29"/>
    <mergeCell ref="A32:F32"/>
    <mergeCell ref="B34:F34"/>
    <mergeCell ref="A36:F36"/>
  </mergeCells>
  <dataValidations>
    <dataValidation type="list" allowBlank="1" sqref="B4 A25:A27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6.86"/>
    <col customWidth="1" min="2" max="2" width="22.86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293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6" t="s">
        <v>211</v>
      </c>
      <c r="B5" s="22" t="s">
        <v>212</v>
      </c>
      <c r="C5" s="5" t="s">
        <v>213</v>
      </c>
    </row>
    <row r="6">
      <c r="A6" s="7" t="s">
        <v>134</v>
      </c>
      <c r="B6" s="7" t="s">
        <v>136</v>
      </c>
      <c r="C6" s="7" t="s">
        <v>108</v>
      </c>
      <c r="D6" s="7"/>
      <c r="E6" s="7"/>
      <c r="F6" s="7"/>
    </row>
    <row r="7">
      <c r="A7" s="19" t="s">
        <v>140</v>
      </c>
      <c r="B7" s="9" t="s">
        <v>275</v>
      </c>
    </row>
    <row r="8">
      <c r="A8" s="19" t="s">
        <v>217</v>
      </c>
      <c r="B8" s="18">
        <v>100.0</v>
      </c>
      <c r="C8" s="5" t="s">
        <v>218</v>
      </c>
    </row>
    <row r="9">
      <c r="A9" s="19" t="s">
        <v>219</v>
      </c>
      <c r="B9" s="18">
        <v>160.0</v>
      </c>
      <c r="C9" s="5" t="s">
        <v>220</v>
      </c>
    </row>
    <row r="10">
      <c r="A10" s="19" t="s">
        <v>221</v>
      </c>
      <c r="B10" s="18">
        <v>100.0</v>
      </c>
      <c r="C10" s="5" t="s">
        <v>220</v>
      </c>
    </row>
    <row r="11">
      <c r="A11" s="19" t="s">
        <v>222</v>
      </c>
      <c r="B11" s="18">
        <v>60.0</v>
      </c>
      <c r="C11" s="5" t="s">
        <v>142</v>
      </c>
    </row>
    <row r="12">
      <c r="A12" s="19" t="s">
        <v>279</v>
      </c>
      <c r="B12" s="18">
        <v>56.0</v>
      </c>
      <c r="C12" s="5" t="s">
        <v>142</v>
      </c>
    </row>
    <row r="13">
      <c r="A13" s="19" t="s">
        <v>149</v>
      </c>
      <c r="B13" s="26">
        <v>1.0</v>
      </c>
    </row>
    <row r="15">
      <c r="A15" s="8" t="s">
        <v>152</v>
      </c>
      <c r="B15" s="2"/>
      <c r="C15" s="2"/>
      <c r="D15" s="2"/>
      <c r="E15" s="2"/>
      <c r="F15" s="4"/>
    </row>
    <row r="16">
      <c r="A16" s="19" t="s">
        <v>16</v>
      </c>
      <c r="B16" s="27" t="str">
        <f t="array" ref="B16">INDEX(MaterialMaster_Range,MATCH(B7,INDEX(MaterialMaster_Range,0,1),0),3)</f>
        <v>#N/A</v>
      </c>
    </row>
    <row r="17">
      <c r="A17" s="19" t="s">
        <v>166</v>
      </c>
      <c r="B17" s="28" t="str">
        <f t="array" ref="B17">INDEX(MaterialMaster_Range,MATCH(B7,INDEX(MaterialMaster_Range,0,1),0),4)</f>
        <v>#N/A</v>
      </c>
    </row>
    <row r="18">
      <c r="A18" s="6" t="s">
        <v>175</v>
      </c>
      <c r="B18" s="29" t="str">
        <f>IF(B5="Round",(PI()/4)*(B8)^2*B11*B16/1000000,(B9)*(B10)*B11*B16/1000000)</f>
        <v>#N/A</v>
      </c>
    </row>
    <row r="19">
      <c r="A19" s="19" t="s">
        <v>182</v>
      </c>
      <c r="B19" s="30" t="str">
        <f>B18*B13</f>
        <v>#N/A</v>
      </c>
    </row>
    <row r="20">
      <c r="A20" s="6" t="s">
        <v>184</v>
      </c>
      <c r="B20" s="31" t="str">
        <f>IF(B4="No",0,B18*B17)</f>
        <v>#N/A</v>
      </c>
    </row>
    <row r="21" ht="15.75" customHeight="1">
      <c r="A21" s="19" t="s">
        <v>187</v>
      </c>
      <c r="B21" s="32" t="str">
        <f>B20*B13</f>
        <v>#N/A</v>
      </c>
    </row>
    <row r="22" ht="15.75" customHeight="1"/>
    <row r="23" ht="15.75" customHeight="1">
      <c r="A23" s="19" t="s">
        <v>282</v>
      </c>
      <c r="B23" s="26">
        <v>1.0</v>
      </c>
    </row>
    <row r="24" ht="15.75" customHeight="1"/>
    <row r="25" ht="15.75" customHeight="1">
      <c r="A25" s="8" t="s">
        <v>231</v>
      </c>
      <c r="B25" s="2"/>
      <c r="C25" s="2"/>
      <c r="D25" s="2"/>
      <c r="E25" s="2"/>
      <c r="F25" s="4"/>
    </row>
    <row r="26" ht="15.75" customHeight="1">
      <c r="A26" s="7" t="s">
        <v>198</v>
      </c>
      <c r="B26" s="7" t="s">
        <v>106</v>
      </c>
      <c r="C26" s="7" t="s">
        <v>199</v>
      </c>
      <c r="D26" s="7" t="s">
        <v>200</v>
      </c>
      <c r="E26" s="7" t="s">
        <v>202</v>
      </c>
      <c r="F26" s="7" t="s">
        <v>203</v>
      </c>
    </row>
    <row r="27" ht="15.75" customHeight="1">
      <c r="A27" s="22" t="s">
        <v>132</v>
      </c>
      <c r="B27" s="10" t="s">
        <v>119</v>
      </c>
      <c r="C27" s="34" t="s">
        <v>283</v>
      </c>
      <c r="D27" s="30" t="str">
        <f>B18</f>
        <v>#N/A</v>
      </c>
      <c r="E27" s="28">
        <f>ProfileCuttingRate</f>
        <v>1.25</v>
      </c>
      <c r="F27" s="32" t="str">
        <f t="shared" ref="F27:F29" si="1">IF(A27="Yes",D27*E27,0)</f>
        <v>#N/A</v>
      </c>
    </row>
    <row r="28" ht="15.75" customHeight="1">
      <c r="A28" s="22" t="s">
        <v>132</v>
      </c>
      <c r="B28" s="10" t="s">
        <v>34</v>
      </c>
      <c r="C28" s="34" t="s">
        <v>31</v>
      </c>
      <c r="D28" s="30">
        <f>VLOOKUP((B9)*(B10),MillingTable,3,TRUE())</f>
        <v>0.6</v>
      </c>
      <c r="E28" s="28">
        <f t="array" ref="E28">INDEX(MachineRateMaster_Range,MATCH("Milling Machine",INDEX(MachineRateMaster_Range,0,1),0),2)</f>
        <v>350</v>
      </c>
      <c r="F28" s="32">
        <f t="shared" si="1"/>
        <v>210</v>
      </c>
    </row>
    <row r="29" ht="15.75" customHeight="1">
      <c r="A29" s="22" t="s">
        <v>132</v>
      </c>
      <c r="B29" s="10" t="s">
        <v>37</v>
      </c>
      <c r="C29" s="34" t="s">
        <v>35</v>
      </c>
      <c r="D29" s="30">
        <f>VLOOKUP(B12,DrillingTable,3,TRUE())*B23</f>
        <v>0.12</v>
      </c>
      <c r="E29" s="28">
        <f t="array" ref="E29">INDEX(MachineRateMaster_Range,MATCH("Drilling Machine",INDEX(MachineRateMaster_Range,0,1),0),2)</f>
        <v>250</v>
      </c>
      <c r="F29" s="32">
        <f t="shared" si="1"/>
        <v>30</v>
      </c>
    </row>
    <row r="30" ht="15.75" customHeight="1"/>
    <row r="31" ht="15.75" customHeight="1">
      <c r="A31" s="8" t="s">
        <v>247</v>
      </c>
      <c r="B31" s="2"/>
      <c r="C31" s="2"/>
      <c r="D31" s="2"/>
      <c r="E31" s="2"/>
      <c r="F31" s="4"/>
    </row>
    <row r="32" ht="15.75" customHeight="1">
      <c r="A32" s="6" t="s">
        <v>249</v>
      </c>
      <c r="B32" s="31" t="str">
        <f>F27+F28+F29</f>
        <v>#N/A</v>
      </c>
    </row>
    <row r="33" ht="15.75" customHeight="1"/>
    <row r="34" ht="15.75" customHeight="1">
      <c r="A34" s="8" t="s">
        <v>251</v>
      </c>
      <c r="B34" s="2"/>
      <c r="C34" s="2"/>
      <c r="D34" s="2"/>
      <c r="E34" s="2"/>
      <c r="F34" s="4"/>
    </row>
    <row r="35" ht="15.75" customHeight="1">
      <c r="A35" s="19" t="s">
        <v>252</v>
      </c>
      <c r="B35" s="20">
        <v>0.0</v>
      </c>
    </row>
    <row r="36" ht="15.75" customHeight="1">
      <c r="A36" s="19" t="s">
        <v>20</v>
      </c>
      <c r="B36" s="39"/>
      <c r="C36" s="40"/>
      <c r="D36" s="40"/>
      <c r="E36" s="40"/>
      <c r="F36" s="41"/>
    </row>
    <row r="37" ht="15.75" customHeight="1"/>
    <row r="38" ht="15.75" customHeight="1">
      <c r="A38" s="8" t="s">
        <v>253</v>
      </c>
      <c r="B38" s="2"/>
      <c r="C38" s="2"/>
      <c r="D38" s="2"/>
      <c r="E38" s="2"/>
      <c r="F38" s="4"/>
    </row>
    <row r="39" ht="15.75" customHeight="1">
      <c r="A39" s="7" t="s">
        <v>254</v>
      </c>
      <c r="B39" s="7" t="s">
        <v>255</v>
      </c>
      <c r="C39" s="7"/>
      <c r="D39" s="7"/>
      <c r="E39" s="7"/>
      <c r="F39" s="7"/>
    </row>
    <row r="40" ht="15.75" customHeight="1">
      <c r="A40" s="19" t="s">
        <v>257</v>
      </c>
      <c r="B40" s="32" t="str">
        <f>B20</f>
        <v>#N/A</v>
      </c>
    </row>
    <row r="41" ht="15.75" customHeight="1">
      <c r="A41" s="19" t="s">
        <v>258</v>
      </c>
      <c r="B41" s="32" t="str">
        <f>B32</f>
        <v>#N/A</v>
      </c>
    </row>
    <row r="42" ht="15.75" customHeight="1">
      <c r="A42" s="19" t="s">
        <v>259</v>
      </c>
      <c r="B42" s="32">
        <f>B35</f>
        <v>0</v>
      </c>
    </row>
    <row r="43" ht="15.75" customHeight="1">
      <c r="A43" s="6" t="s">
        <v>306</v>
      </c>
      <c r="B43" s="31" t="str">
        <f>B20+B32+B35</f>
        <v>#N/A</v>
      </c>
    </row>
    <row r="44" ht="15.75" customHeight="1">
      <c r="A44" s="6" t="s">
        <v>307</v>
      </c>
      <c r="B44" s="31" t="str">
        <f>B43*B13</f>
        <v>#N/A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5:F15"/>
    <mergeCell ref="A25:F25"/>
    <mergeCell ref="A31:F31"/>
    <mergeCell ref="A34:F34"/>
    <mergeCell ref="B36:F36"/>
    <mergeCell ref="A38:F38"/>
  </mergeCells>
  <dataValidations>
    <dataValidation type="list" allowBlank="1" sqref="B5">
      <formula1>"Round,Profile,Cuboid Block"</formula1>
    </dataValidation>
    <dataValidation type="list" allowBlank="1" sqref="B4 A27:A29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295</v>
      </c>
      <c r="B1" s="2"/>
      <c r="C1" s="2"/>
      <c r="D1" s="2"/>
      <c r="E1" s="2"/>
      <c r="F1" s="4"/>
    </row>
    <row r="2">
      <c r="A2" s="5" t="s">
        <v>296</v>
      </c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9" t="s">
        <v>277</v>
      </c>
    </row>
    <row r="7">
      <c r="A7" s="19" t="s">
        <v>269</v>
      </c>
      <c r="B7" s="18">
        <v>100.0</v>
      </c>
      <c r="C7" s="5" t="s">
        <v>142</v>
      </c>
    </row>
    <row r="8">
      <c r="A8" s="19" t="s">
        <v>147</v>
      </c>
      <c r="B8" s="18">
        <v>45.0</v>
      </c>
      <c r="C8" s="5" t="s">
        <v>142</v>
      </c>
    </row>
    <row r="9">
      <c r="A9" s="19" t="s">
        <v>149</v>
      </c>
      <c r="B9" s="26">
        <v>1.0</v>
      </c>
    </row>
    <row r="11">
      <c r="A11" s="8" t="s">
        <v>152</v>
      </c>
      <c r="B11" s="2"/>
      <c r="C11" s="2"/>
      <c r="D11" s="2"/>
      <c r="E11" s="2"/>
      <c r="F11" s="4"/>
    </row>
    <row r="12">
      <c r="A12" s="19" t="s">
        <v>16</v>
      </c>
      <c r="B12" s="27" t="str">
        <f t="array" ref="B12">INDEX(MaterialMaster_Range,MATCH(B6,INDEX(MaterialMaster_Range,0,1),0),3)</f>
        <v>#N/A</v>
      </c>
    </row>
    <row r="13">
      <c r="A13" s="19" t="s">
        <v>166</v>
      </c>
      <c r="B13" s="28" t="str">
        <f t="array" ref="B13">INDEX(MaterialMaster_Range,MATCH(B6,INDEX(MaterialMaster_Range,0,1),0),4)</f>
        <v>#N/A</v>
      </c>
    </row>
    <row r="14">
      <c r="A14" s="6" t="s">
        <v>175</v>
      </c>
      <c r="B14" s="29" t="str">
        <f>(PI()/4)*((B7)^2)*B8*B12/1000000</f>
        <v>#N/A</v>
      </c>
    </row>
    <row r="15">
      <c r="A15" s="19" t="s">
        <v>182</v>
      </c>
      <c r="B15" s="30" t="str">
        <f>B14*B9</f>
        <v>#N/A</v>
      </c>
    </row>
    <row r="16">
      <c r="A16" s="6" t="s">
        <v>184</v>
      </c>
      <c r="B16" s="31" t="str">
        <f>IF(B4="No",0,B14*B13)</f>
        <v>#N/A</v>
      </c>
    </row>
    <row r="17">
      <c r="A17" s="19" t="s">
        <v>187</v>
      </c>
      <c r="B17" s="32" t="str">
        <f>B16*B9</f>
        <v>#N/A</v>
      </c>
    </row>
    <row r="19">
      <c r="A19" s="19" t="s">
        <v>299</v>
      </c>
      <c r="B19" s="18">
        <v>10.0</v>
      </c>
    </row>
    <row r="20">
      <c r="A20" s="19" t="s">
        <v>300</v>
      </c>
      <c r="B20" s="18">
        <v>314.0</v>
      </c>
    </row>
    <row r="21" ht="15.75" customHeight="1">
      <c r="A21" s="19" t="s">
        <v>281</v>
      </c>
      <c r="B21" s="18">
        <v>10.0</v>
      </c>
    </row>
    <row r="22" ht="15.75" customHeight="1">
      <c r="A22" s="19" t="s">
        <v>193</v>
      </c>
      <c r="B22" s="26">
        <v>4.0</v>
      </c>
    </row>
    <row r="23" ht="15.75" customHeight="1"/>
    <row r="24" ht="15.75" customHeight="1">
      <c r="A24" s="8" t="s">
        <v>231</v>
      </c>
      <c r="B24" s="2"/>
      <c r="C24" s="2"/>
      <c r="D24" s="2"/>
      <c r="E24" s="2"/>
      <c r="F24" s="4"/>
    </row>
    <row r="25" ht="15.75" customHeight="1">
      <c r="A25" s="7" t="s">
        <v>198</v>
      </c>
      <c r="B25" s="7" t="s">
        <v>106</v>
      </c>
      <c r="C25" s="7" t="s">
        <v>199</v>
      </c>
      <c r="D25" s="7" t="s">
        <v>200</v>
      </c>
      <c r="E25" s="7" t="s">
        <v>202</v>
      </c>
      <c r="F25" s="7" t="s">
        <v>203</v>
      </c>
    </row>
    <row r="26" ht="15.75" customHeight="1">
      <c r="A26" s="22" t="s">
        <v>132</v>
      </c>
      <c r="B26" s="10" t="s">
        <v>228</v>
      </c>
      <c r="C26" s="34" t="s">
        <v>283</v>
      </c>
      <c r="D26" s="30" t="str">
        <f>B14</f>
        <v>#N/A</v>
      </c>
      <c r="E26" s="28">
        <f>ProfileCuttingRate</f>
        <v>1.25</v>
      </c>
      <c r="F26" s="32" t="str">
        <f t="shared" ref="F26:F28" si="1">IF(A26="Yes",D26*E26,0)</f>
        <v>#N/A</v>
      </c>
    </row>
    <row r="27" ht="15.75" customHeight="1">
      <c r="A27" s="22" t="s">
        <v>132</v>
      </c>
      <c r="B27" s="10" t="s">
        <v>34</v>
      </c>
      <c r="C27" s="34" t="s">
        <v>31</v>
      </c>
      <c r="D27" s="30">
        <f>VLOOKUP((B19)*(B20),MillingTable,3,TRUE())</f>
        <v>0.3</v>
      </c>
      <c r="E27" s="28">
        <f t="array" ref="E27">INDEX(MachineRateMaster_Range,MATCH("Milling Machine",INDEX(MachineRateMaster_Range,0,1),0),2)</f>
        <v>350</v>
      </c>
      <c r="F27" s="32">
        <f t="shared" si="1"/>
        <v>105</v>
      </c>
    </row>
    <row r="28" ht="15.75" customHeight="1">
      <c r="A28" s="22" t="s">
        <v>132</v>
      </c>
      <c r="B28" s="10" t="s">
        <v>37</v>
      </c>
      <c r="C28" s="34" t="s">
        <v>35</v>
      </c>
      <c r="D28" s="30">
        <f>VLOOKUP(B21,DrillingTable,3,TRUE())*B22</f>
        <v>0.12</v>
      </c>
      <c r="E28" s="28">
        <f t="array" ref="E28">INDEX(MachineRateMaster_Range,MATCH("Drilling Machine",INDEX(MachineRateMaster_Range,0,1),0),2)</f>
        <v>250</v>
      </c>
      <c r="F28" s="32">
        <f t="shared" si="1"/>
        <v>30</v>
      </c>
    </row>
    <row r="29" ht="15.75" customHeight="1"/>
    <row r="30" ht="15.75" customHeight="1">
      <c r="A30" s="8" t="s">
        <v>247</v>
      </c>
      <c r="B30" s="2"/>
      <c r="C30" s="2"/>
      <c r="D30" s="2"/>
      <c r="E30" s="2"/>
      <c r="F30" s="4"/>
    </row>
    <row r="31" ht="15.75" customHeight="1">
      <c r="A31" s="6" t="s">
        <v>249</v>
      </c>
      <c r="B31" s="31" t="str">
        <f>F26+F27+F28</f>
        <v>#N/A</v>
      </c>
    </row>
    <row r="32" ht="15.75" customHeight="1"/>
    <row r="33" ht="15.75" customHeight="1">
      <c r="A33" s="8" t="s">
        <v>251</v>
      </c>
      <c r="B33" s="2"/>
      <c r="C33" s="2"/>
      <c r="D33" s="2"/>
      <c r="E33" s="2"/>
      <c r="F33" s="4"/>
    </row>
    <row r="34" ht="15.75" customHeight="1">
      <c r="A34" s="19" t="s">
        <v>252</v>
      </c>
      <c r="B34" s="20">
        <v>0.0</v>
      </c>
    </row>
    <row r="35" ht="15.75" customHeight="1">
      <c r="A35" s="19" t="s">
        <v>20</v>
      </c>
      <c r="B35" s="39"/>
      <c r="C35" s="40"/>
      <c r="D35" s="40"/>
      <c r="E35" s="40"/>
      <c r="F35" s="41"/>
    </row>
    <row r="36" ht="15.75" customHeight="1"/>
    <row r="37" ht="15.75" customHeight="1">
      <c r="A37" s="8" t="s">
        <v>253</v>
      </c>
      <c r="B37" s="2"/>
      <c r="C37" s="2"/>
      <c r="D37" s="2"/>
      <c r="E37" s="2"/>
      <c r="F37" s="4"/>
    </row>
    <row r="38" ht="15.75" customHeight="1">
      <c r="A38" s="7" t="s">
        <v>254</v>
      </c>
      <c r="B38" s="7" t="s">
        <v>255</v>
      </c>
      <c r="C38" s="7"/>
      <c r="D38" s="7"/>
      <c r="E38" s="7"/>
      <c r="F38" s="7"/>
    </row>
    <row r="39" ht="15.75" customHeight="1">
      <c r="A39" s="19" t="s">
        <v>257</v>
      </c>
      <c r="B39" s="32" t="str">
        <f>B16</f>
        <v>#N/A</v>
      </c>
    </row>
    <row r="40" ht="15.75" customHeight="1">
      <c r="A40" s="19" t="s">
        <v>258</v>
      </c>
      <c r="B40" s="32" t="str">
        <f>B31</f>
        <v>#N/A</v>
      </c>
    </row>
    <row r="41" ht="15.75" customHeight="1">
      <c r="A41" s="19" t="s">
        <v>259</v>
      </c>
      <c r="B41" s="32">
        <f>B34</f>
        <v>0</v>
      </c>
    </row>
    <row r="42" ht="15.75" customHeight="1">
      <c r="A42" s="6" t="s">
        <v>304</v>
      </c>
      <c r="B42" s="31" t="str">
        <f>B16+B31+B34</f>
        <v>#N/A</v>
      </c>
    </row>
    <row r="43" ht="15.75" customHeight="1">
      <c r="A43" s="6" t="s">
        <v>305</v>
      </c>
      <c r="B43" s="31" t="str">
        <f>B42*B9</f>
        <v>#N/A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1:F11"/>
    <mergeCell ref="A24:F24"/>
    <mergeCell ref="A30:F30"/>
    <mergeCell ref="A33:F33"/>
    <mergeCell ref="B35:F35"/>
    <mergeCell ref="A37:F37"/>
  </mergeCells>
  <dataValidations>
    <dataValidation type="list" allowBlank="1" sqref="B4 A26:A28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294</v>
      </c>
      <c r="B1" s="2"/>
      <c r="C1" s="2"/>
      <c r="D1" s="2"/>
      <c r="E1" s="2"/>
      <c r="F1" s="4"/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22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9" t="s">
        <v>216</v>
      </c>
    </row>
    <row r="7">
      <c r="A7" s="19" t="s">
        <v>269</v>
      </c>
      <c r="B7" s="18">
        <v>220.0</v>
      </c>
      <c r="C7" s="5" t="s">
        <v>142</v>
      </c>
    </row>
    <row r="8">
      <c r="A8" s="19" t="s">
        <v>147</v>
      </c>
      <c r="B8" s="18">
        <v>60.0</v>
      </c>
      <c r="C8" s="5" t="s">
        <v>142</v>
      </c>
    </row>
    <row r="9">
      <c r="A9" s="19" t="s">
        <v>149</v>
      </c>
      <c r="B9" s="26">
        <v>1.0</v>
      </c>
    </row>
    <row r="11">
      <c r="A11" s="8" t="s">
        <v>152</v>
      </c>
      <c r="B11" s="2"/>
      <c r="C11" s="2"/>
      <c r="D11" s="2"/>
      <c r="E11" s="2"/>
      <c r="F11" s="4"/>
    </row>
    <row r="12">
      <c r="A12" s="19" t="s">
        <v>16</v>
      </c>
      <c r="B12" s="27" t="str">
        <f t="array" ref="B12">INDEX(MaterialMaster_Range,MATCH(B6,INDEX(MaterialMaster_Range,0,1),0),3)</f>
        <v>#N/A</v>
      </c>
    </row>
    <row r="13">
      <c r="A13" s="19" t="s">
        <v>166</v>
      </c>
      <c r="B13" s="28" t="str">
        <f t="array" ref="B13">INDEX(MaterialMaster_Range,MATCH(B6,INDEX(MaterialMaster_Range,0,1),0),4)</f>
        <v>#N/A</v>
      </c>
    </row>
    <row r="14">
      <c r="A14" s="6" t="s">
        <v>175</v>
      </c>
      <c r="B14" s="29" t="str">
        <f>(PI()/4)*((B7)^2)*B8*B12/1000000</f>
        <v>#N/A</v>
      </c>
    </row>
    <row r="15">
      <c r="A15" s="19" t="s">
        <v>182</v>
      </c>
      <c r="B15" s="30" t="str">
        <f>B14*B9</f>
        <v>#N/A</v>
      </c>
    </row>
    <row r="16">
      <c r="A16" s="6" t="s">
        <v>184</v>
      </c>
      <c r="B16" s="31" t="str">
        <f>IF(B4="No",0,B14*B13)</f>
        <v>#N/A</v>
      </c>
    </row>
    <row r="17">
      <c r="A17" s="19" t="s">
        <v>187</v>
      </c>
      <c r="B17" s="32" t="str">
        <f>B16*B9</f>
        <v>#N/A</v>
      </c>
    </row>
    <row r="19">
      <c r="A19" s="19" t="s">
        <v>201</v>
      </c>
      <c r="B19" s="18">
        <v>40.0</v>
      </c>
    </row>
    <row r="20">
      <c r="A20" s="19" t="s">
        <v>204</v>
      </c>
      <c r="B20" s="18">
        <v>40.0</v>
      </c>
    </row>
    <row r="21" ht="15.75" customHeight="1">
      <c r="A21" s="19" t="s">
        <v>191</v>
      </c>
      <c r="B21" s="18">
        <v>14.0</v>
      </c>
    </row>
    <row r="22" ht="15.75" customHeight="1">
      <c r="A22" s="19" t="s">
        <v>193</v>
      </c>
      <c r="B22" s="26">
        <v>4.0</v>
      </c>
    </row>
    <row r="23" ht="15.75" customHeight="1"/>
    <row r="24" ht="15.75" customHeight="1">
      <c r="A24" s="8" t="s">
        <v>231</v>
      </c>
      <c r="B24" s="2"/>
      <c r="C24" s="2"/>
      <c r="D24" s="2"/>
      <c r="E24" s="2"/>
      <c r="F24" s="4"/>
    </row>
    <row r="25" ht="15.75" customHeight="1">
      <c r="A25" s="7" t="s">
        <v>198</v>
      </c>
      <c r="B25" s="7" t="s">
        <v>106</v>
      </c>
      <c r="C25" s="7" t="s">
        <v>199</v>
      </c>
      <c r="D25" s="7" t="s">
        <v>200</v>
      </c>
      <c r="E25" s="7" t="s">
        <v>202</v>
      </c>
      <c r="F25" s="7" t="s">
        <v>203</v>
      </c>
    </row>
    <row r="26" ht="15.75" customHeight="1">
      <c r="A26" s="22" t="s">
        <v>132</v>
      </c>
      <c r="B26" s="10" t="s">
        <v>233</v>
      </c>
      <c r="C26" s="34" t="s">
        <v>15</v>
      </c>
      <c r="D26" s="30">
        <f t="array" ref="D26">INDEX(RoughTurningTable,MATCH(B7,TurningODBins,1),MATCH(B8,TurningLenBins,1))</f>
        <v>0.8</v>
      </c>
      <c r="E26" s="28">
        <f t="array" ref="E26">INDEX(MachineRateMaster_Range,MATCH("CNC Lathe",INDEX(MachineRateMaster_Range,0,1),0),2)</f>
        <v>550</v>
      </c>
      <c r="F26" s="32">
        <f t="shared" ref="F26:F28" si="1">IF(A26="Yes",D26*E26,0)</f>
        <v>440</v>
      </c>
    </row>
    <row r="27" ht="15.75" customHeight="1">
      <c r="A27" s="22" t="s">
        <v>132</v>
      </c>
      <c r="B27" s="10" t="s">
        <v>34</v>
      </c>
      <c r="C27" s="34" t="s">
        <v>31</v>
      </c>
      <c r="D27" s="30">
        <f>VLOOKUP((B19)*(B20),MillingTable,3,TRUE())</f>
        <v>0.3</v>
      </c>
      <c r="E27" s="28">
        <f t="array" ref="E27">INDEX(MachineRateMaster_Range,MATCH("Milling Machine",INDEX(MachineRateMaster_Range,0,1),0),2)</f>
        <v>350</v>
      </c>
      <c r="F27" s="32">
        <f t="shared" si="1"/>
        <v>105</v>
      </c>
    </row>
    <row r="28" ht="15.75" customHeight="1">
      <c r="A28" s="22" t="s">
        <v>132</v>
      </c>
      <c r="B28" s="10" t="s">
        <v>37</v>
      </c>
      <c r="C28" s="34" t="s">
        <v>35</v>
      </c>
      <c r="D28" s="30">
        <f>VLOOKUP(B21,DrillingTable,3,TRUE())*B22</f>
        <v>0.2</v>
      </c>
      <c r="E28" s="28">
        <f t="array" ref="E28">INDEX(MachineRateMaster_Range,MATCH("Drilling Machine",INDEX(MachineRateMaster_Range,0,1),0),2)</f>
        <v>250</v>
      </c>
      <c r="F28" s="32">
        <f t="shared" si="1"/>
        <v>50</v>
      </c>
    </row>
    <row r="29" ht="15.75" customHeight="1"/>
    <row r="30" ht="15.75" customHeight="1">
      <c r="A30" s="8" t="s">
        <v>247</v>
      </c>
      <c r="B30" s="2"/>
      <c r="C30" s="2"/>
      <c r="D30" s="2"/>
      <c r="E30" s="2"/>
      <c r="F30" s="4"/>
    </row>
    <row r="31" ht="15.75" customHeight="1">
      <c r="A31" s="6" t="s">
        <v>249</v>
      </c>
      <c r="B31" s="31">
        <f>F26+F27+F28</f>
        <v>595</v>
      </c>
    </row>
    <row r="32" ht="15.75" customHeight="1"/>
    <row r="33" ht="15.75" customHeight="1">
      <c r="A33" s="8" t="s">
        <v>251</v>
      </c>
      <c r="B33" s="2"/>
      <c r="C33" s="2"/>
      <c r="D33" s="2"/>
      <c r="E33" s="2"/>
      <c r="F33" s="4"/>
    </row>
    <row r="34" ht="15.75" customHeight="1">
      <c r="A34" s="19" t="s">
        <v>252</v>
      </c>
      <c r="B34" s="20">
        <v>0.0</v>
      </c>
    </row>
    <row r="35" ht="15.75" customHeight="1">
      <c r="A35" s="19" t="s">
        <v>20</v>
      </c>
      <c r="B35" s="39"/>
      <c r="C35" s="40"/>
      <c r="D35" s="40"/>
      <c r="E35" s="40"/>
      <c r="F35" s="41"/>
    </row>
    <row r="36" ht="15.75" customHeight="1"/>
    <row r="37" ht="15.75" customHeight="1">
      <c r="A37" s="8" t="s">
        <v>253</v>
      </c>
      <c r="B37" s="2"/>
      <c r="C37" s="2"/>
      <c r="D37" s="2"/>
      <c r="E37" s="2"/>
      <c r="F37" s="4"/>
    </row>
    <row r="38" ht="15.75" customHeight="1">
      <c r="A38" s="7" t="s">
        <v>254</v>
      </c>
      <c r="B38" s="7" t="s">
        <v>255</v>
      </c>
      <c r="C38" s="7"/>
      <c r="D38" s="7"/>
      <c r="E38" s="7"/>
      <c r="F38" s="7"/>
    </row>
    <row r="39" ht="15.75" customHeight="1">
      <c r="A39" s="19" t="s">
        <v>257</v>
      </c>
      <c r="B39" s="32" t="str">
        <f>B16</f>
        <v>#N/A</v>
      </c>
    </row>
    <row r="40" ht="15.75" customHeight="1">
      <c r="A40" s="19" t="s">
        <v>258</v>
      </c>
      <c r="B40" s="32">
        <f>B31</f>
        <v>595</v>
      </c>
    </row>
    <row r="41" ht="15.75" customHeight="1">
      <c r="A41" s="19" t="s">
        <v>259</v>
      </c>
      <c r="B41" s="32">
        <f>B34</f>
        <v>0</v>
      </c>
    </row>
    <row r="42" ht="15.75" customHeight="1">
      <c r="A42" s="6" t="s">
        <v>308</v>
      </c>
      <c r="B42" s="31" t="str">
        <f>B16+B31+B34</f>
        <v>#N/A</v>
      </c>
    </row>
    <row r="43" ht="15.75" customHeight="1">
      <c r="A43" s="6" t="s">
        <v>310</v>
      </c>
      <c r="B43" s="31" t="str">
        <f>B42*B9</f>
        <v>#N/A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1:F11"/>
    <mergeCell ref="A24:F24"/>
    <mergeCell ref="A30:F30"/>
    <mergeCell ref="A33:F33"/>
    <mergeCell ref="B35:F35"/>
    <mergeCell ref="A37:F37"/>
  </mergeCells>
  <dataValidations>
    <dataValidation type="list" allowBlank="1" sqref="B4 A26:A28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7.0"/>
    <col customWidth="1" min="2" max="2" width="16.0"/>
    <col customWidth="1" min="3" max="3" width="22.0"/>
    <col customWidth="1" min="4" max="4" width="16.0"/>
    <col customWidth="1" min="5" max="6" width="14.0"/>
    <col customWidth="1" min="7" max="26" width="8.71"/>
  </cols>
  <sheetData>
    <row r="1" ht="21.75" customHeight="1">
      <c r="A1" s="3" t="s">
        <v>297</v>
      </c>
      <c r="B1" s="2"/>
      <c r="C1" s="2"/>
      <c r="D1" s="2"/>
      <c r="E1" s="2"/>
      <c r="F1" s="4"/>
    </row>
    <row r="2">
      <c r="A2" s="5" t="s">
        <v>298</v>
      </c>
    </row>
    <row r="3">
      <c r="A3" s="8" t="s">
        <v>124</v>
      </c>
      <c r="B3" s="2"/>
      <c r="C3" s="2"/>
      <c r="D3" s="2"/>
      <c r="E3" s="2"/>
      <c r="F3" s="4"/>
    </row>
    <row r="4">
      <c r="A4" s="6" t="s">
        <v>128</v>
      </c>
      <c r="B4" s="35" t="s">
        <v>132</v>
      </c>
      <c r="C4" s="5" t="s">
        <v>133</v>
      </c>
    </row>
    <row r="5">
      <c r="A5" s="7" t="s">
        <v>134</v>
      </c>
      <c r="B5" s="7" t="s">
        <v>136</v>
      </c>
      <c r="C5" s="7" t="s">
        <v>108</v>
      </c>
      <c r="D5" s="7"/>
      <c r="E5" s="7"/>
      <c r="F5" s="7"/>
    </row>
    <row r="6">
      <c r="A6" s="19" t="s">
        <v>140</v>
      </c>
      <c r="B6" s="25" t="s">
        <v>22</v>
      </c>
    </row>
    <row r="7">
      <c r="A7" s="19" t="s">
        <v>147</v>
      </c>
      <c r="B7" s="18">
        <v>200.0</v>
      </c>
      <c r="C7" s="5" t="s">
        <v>142</v>
      </c>
    </row>
    <row r="8">
      <c r="A8" s="19" t="s">
        <v>219</v>
      </c>
      <c r="B8" s="18">
        <v>100.0</v>
      </c>
      <c r="C8" s="5" t="s">
        <v>142</v>
      </c>
    </row>
    <row r="9">
      <c r="A9" s="19" t="s">
        <v>221</v>
      </c>
      <c r="B9" s="18">
        <v>100.0</v>
      </c>
      <c r="C9" s="5" t="s">
        <v>142</v>
      </c>
    </row>
    <row r="10">
      <c r="A10" s="19" t="s">
        <v>149</v>
      </c>
      <c r="B10" s="26">
        <v>2.0</v>
      </c>
    </row>
    <row r="12">
      <c r="A12" s="8" t="s">
        <v>152</v>
      </c>
      <c r="B12" s="2"/>
      <c r="C12" s="2"/>
      <c r="D12" s="2"/>
      <c r="E12" s="2"/>
      <c r="F12" s="4"/>
    </row>
    <row r="13">
      <c r="A13" s="19" t="s">
        <v>16</v>
      </c>
      <c r="B13" s="27">
        <f t="array" ref="B13">INDEX(MaterialMaster_Range,MATCH(B6,INDEX(MaterialMaster_Range,0,1),0),3)</f>
        <v>7.85</v>
      </c>
    </row>
    <row r="14">
      <c r="A14" s="19" t="s">
        <v>166</v>
      </c>
      <c r="B14" s="28">
        <f t="array" ref="B14">INDEX(MaterialMaster_Range,MATCH(B6,INDEX(MaterialMaster_Range,0,1),0),4)</f>
        <v>68</v>
      </c>
    </row>
    <row r="15">
      <c r="A15" s="6" t="s">
        <v>175</v>
      </c>
      <c r="B15" s="29">
        <f>(B7)*(B8)*(B9)*B13/1000000</f>
        <v>15.7</v>
      </c>
    </row>
    <row r="16">
      <c r="A16" s="19" t="s">
        <v>182</v>
      </c>
      <c r="B16" s="30">
        <f>B15*B10</f>
        <v>31.4</v>
      </c>
    </row>
    <row r="17">
      <c r="A17" s="6" t="s">
        <v>184</v>
      </c>
      <c r="B17" s="31">
        <f>IF(B4="No",0,B15*B14)</f>
        <v>1067.6</v>
      </c>
    </row>
    <row r="18">
      <c r="A18" s="19" t="s">
        <v>187</v>
      </c>
      <c r="B18" s="32">
        <f>B17*B10</f>
        <v>2135.2</v>
      </c>
    </row>
    <row r="20">
      <c r="A20" s="19" t="s">
        <v>201</v>
      </c>
      <c r="B20" s="18">
        <v>40.0</v>
      </c>
    </row>
    <row r="21" ht="15.75" customHeight="1">
      <c r="A21" s="19" t="s">
        <v>204</v>
      </c>
      <c r="B21" s="18">
        <v>40.0</v>
      </c>
    </row>
    <row r="22" ht="15.75" customHeight="1">
      <c r="A22" s="19" t="s">
        <v>191</v>
      </c>
      <c r="B22" s="18">
        <v>12.0</v>
      </c>
    </row>
    <row r="23" ht="15.75" customHeight="1">
      <c r="A23" s="19" t="s">
        <v>193</v>
      </c>
      <c r="B23" s="26">
        <v>2.0</v>
      </c>
    </row>
    <row r="24" ht="15.75" customHeight="1"/>
    <row r="25" ht="15.75" customHeight="1">
      <c r="A25" s="8" t="s">
        <v>231</v>
      </c>
      <c r="B25" s="2"/>
      <c r="C25" s="2"/>
      <c r="D25" s="2"/>
      <c r="E25" s="2"/>
      <c r="F25" s="4"/>
    </row>
    <row r="26" ht="15.75" customHeight="1">
      <c r="A26" s="7" t="s">
        <v>198</v>
      </c>
      <c r="B26" s="7" t="s">
        <v>106</v>
      </c>
      <c r="C26" s="7" t="s">
        <v>199</v>
      </c>
      <c r="D26" s="7" t="s">
        <v>200</v>
      </c>
      <c r="E26" s="7" t="s">
        <v>202</v>
      </c>
      <c r="F26" s="7" t="s">
        <v>203</v>
      </c>
    </row>
    <row r="27" ht="15.75" customHeight="1">
      <c r="A27" s="22" t="s">
        <v>132</v>
      </c>
      <c r="B27" s="10" t="s">
        <v>209</v>
      </c>
      <c r="C27" s="34" t="s">
        <v>301</v>
      </c>
      <c r="D27" s="34" t="s">
        <v>245</v>
      </c>
      <c r="E27" s="34" t="s">
        <v>245</v>
      </c>
      <c r="F27" s="20">
        <v>0.0</v>
      </c>
    </row>
    <row r="28" ht="15.75" customHeight="1">
      <c r="A28" s="22" t="s">
        <v>132</v>
      </c>
      <c r="B28" s="10" t="s">
        <v>302</v>
      </c>
      <c r="C28" s="34" t="s">
        <v>301</v>
      </c>
      <c r="D28" s="34" t="s">
        <v>245</v>
      </c>
      <c r="E28" s="34" t="s">
        <v>245</v>
      </c>
      <c r="F28" s="20">
        <v>0.0</v>
      </c>
    </row>
    <row r="29" ht="15.75" customHeight="1">
      <c r="A29" s="22" t="s">
        <v>132</v>
      </c>
      <c r="B29" s="10" t="s">
        <v>303</v>
      </c>
      <c r="C29" s="34" t="s">
        <v>301</v>
      </c>
      <c r="D29" s="34" t="s">
        <v>245</v>
      </c>
      <c r="E29" s="34" t="s">
        <v>245</v>
      </c>
      <c r="F29" s="20">
        <v>0.0</v>
      </c>
    </row>
    <row r="30" ht="15.75" customHeight="1">
      <c r="A30" s="22" t="s">
        <v>132</v>
      </c>
      <c r="B30" s="10" t="s">
        <v>34</v>
      </c>
      <c r="C30" s="34" t="s">
        <v>31</v>
      </c>
      <c r="D30" s="30">
        <f>VLOOKUP((B20)*(B21),MillingTable,3,TRUE())</f>
        <v>0.3</v>
      </c>
      <c r="E30" s="28">
        <f t="array" ref="E30">INDEX(MachineRateMaster_Range,MATCH("Milling Machine",INDEX(MachineRateMaster_Range,0,1),0),2)</f>
        <v>350</v>
      </c>
      <c r="F30" s="32">
        <f t="shared" ref="F30:F31" si="1">IF(A30="Yes",D30*E30,0)</f>
        <v>105</v>
      </c>
    </row>
    <row r="31" ht="15.75" customHeight="1">
      <c r="A31" s="22" t="s">
        <v>132</v>
      </c>
      <c r="B31" s="10" t="s">
        <v>37</v>
      </c>
      <c r="C31" s="34" t="s">
        <v>35</v>
      </c>
      <c r="D31" s="30">
        <f>VLOOKUP(B22,DrillingTable,3,TRUE())*B23</f>
        <v>0.1</v>
      </c>
      <c r="E31" s="28">
        <f t="array" ref="E31">INDEX(MachineRateMaster_Range,MATCH("Drilling Machine",INDEX(MachineRateMaster_Range,0,1),0),2)</f>
        <v>250</v>
      </c>
      <c r="F31" s="32">
        <f t="shared" si="1"/>
        <v>25</v>
      </c>
    </row>
    <row r="32" ht="15.75" customHeight="1"/>
    <row r="33" ht="15.75" customHeight="1">
      <c r="A33" s="8" t="s">
        <v>247</v>
      </c>
      <c r="B33" s="2"/>
      <c r="C33" s="2"/>
      <c r="D33" s="2"/>
      <c r="E33" s="2"/>
      <c r="F33" s="4"/>
    </row>
    <row r="34" ht="15.75" customHeight="1">
      <c r="A34" s="6" t="s">
        <v>249</v>
      </c>
      <c r="B34" s="31">
        <f>F27+F28+F29+F30+F31</f>
        <v>130</v>
      </c>
    </row>
    <row r="35" ht="15.75" customHeight="1"/>
    <row r="36" ht="15.75" customHeight="1">
      <c r="A36" s="8" t="s">
        <v>251</v>
      </c>
      <c r="B36" s="2"/>
      <c r="C36" s="2"/>
      <c r="D36" s="2"/>
      <c r="E36" s="2"/>
      <c r="F36" s="4"/>
    </row>
    <row r="37" ht="15.75" customHeight="1">
      <c r="A37" s="19" t="s">
        <v>252</v>
      </c>
      <c r="B37" s="20">
        <v>0.0</v>
      </c>
    </row>
    <row r="38" ht="15.75" customHeight="1">
      <c r="A38" s="19" t="s">
        <v>20</v>
      </c>
      <c r="B38" s="39"/>
      <c r="C38" s="40"/>
      <c r="D38" s="40"/>
      <c r="E38" s="40"/>
      <c r="F38" s="41"/>
    </row>
    <row r="39" ht="15.75" customHeight="1"/>
    <row r="40" ht="15.75" customHeight="1">
      <c r="A40" s="8" t="s">
        <v>253</v>
      </c>
      <c r="B40" s="2"/>
      <c r="C40" s="2"/>
      <c r="D40" s="2"/>
      <c r="E40" s="2"/>
      <c r="F40" s="4"/>
    </row>
    <row r="41" ht="15.75" customHeight="1">
      <c r="A41" s="7" t="s">
        <v>254</v>
      </c>
      <c r="B41" s="7" t="s">
        <v>255</v>
      </c>
      <c r="C41" s="7"/>
      <c r="D41" s="7"/>
      <c r="E41" s="7"/>
      <c r="F41" s="7"/>
    </row>
    <row r="42" ht="15.75" customHeight="1">
      <c r="A42" s="19" t="s">
        <v>257</v>
      </c>
      <c r="B42" s="32">
        <f>B17</f>
        <v>1067.6</v>
      </c>
    </row>
    <row r="43" ht="15.75" customHeight="1">
      <c r="A43" s="19" t="s">
        <v>258</v>
      </c>
      <c r="B43" s="32">
        <f>B34</f>
        <v>130</v>
      </c>
    </row>
    <row r="44" ht="15.75" customHeight="1">
      <c r="A44" s="19" t="s">
        <v>259</v>
      </c>
      <c r="B44" s="32">
        <f>B37</f>
        <v>0</v>
      </c>
    </row>
    <row r="45" ht="15.75" customHeight="1">
      <c r="A45" s="6" t="s">
        <v>309</v>
      </c>
      <c r="B45" s="31">
        <f>B17+B34+B37</f>
        <v>1197.6</v>
      </c>
    </row>
    <row r="46" ht="15.75" customHeight="1">
      <c r="A46" s="6" t="s">
        <v>311</v>
      </c>
      <c r="B46" s="31">
        <f>B45*B10</f>
        <v>2395.2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F1"/>
    <mergeCell ref="A3:F3"/>
    <mergeCell ref="A12:F12"/>
    <mergeCell ref="A25:F25"/>
    <mergeCell ref="A33:F33"/>
    <mergeCell ref="A36:F36"/>
    <mergeCell ref="B38:F38"/>
    <mergeCell ref="A40:F40"/>
  </mergeCells>
  <dataValidations>
    <dataValidation type="list" allowBlank="1" sqref="B4 A27:A31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E78"/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16.0"/>
    <col customWidth="1" min="4" max="4" width="12.0"/>
    <col customWidth="1" min="5" max="5" width="10.0"/>
    <col customWidth="1" min="6" max="6" width="14.0"/>
    <col customWidth="1" min="7" max="7" width="30.0"/>
    <col customWidth="1" min="8" max="26" width="8.71"/>
  </cols>
  <sheetData>
    <row r="1" ht="21.75" customHeight="1">
      <c r="A1" s="3" t="s">
        <v>312</v>
      </c>
      <c r="B1" s="2"/>
      <c r="C1" s="2"/>
      <c r="D1" s="2"/>
      <c r="E1" s="2"/>
      <c r="F1" s="2"/>
      <c r="G1" s="4"/>
    </row>
    <row r="2">
      <c r="A2" s="5" t="s">
        <v>313</v>
      </c>
    </row>
    <row r="3">
      <c r="A3" s="7" t="s">
        <v>314</v>
      </c>
      <c r="B3" s="7" t="s">
        <v>315</v>
      </c>
      <c r="C3" s="7" t="s">
        <v>316</v>
      </c>
      <c r="D3" s="7" t="s">
        <v>202</v>
      </c>
      <c r="E3" s="7" t="s">
        <v>317</v>
      </c>
      <c r="F3" s="7" t="s">
        <v>203</v>
      </c>
      <c r="G3" s="7" t="s">
        <v>20</v>
      </c>
    </row>
    <row r="4">
      <c r="A4" s="10" t="s">
        <v>318</v>
      </c>
      <c r="B4" s="10" t="s">
        <v>319</v>
      </c>
      <c r="C4" s="22" t="s">
        <v>132</v>
      </c>
      <c r="D4" s="20">
        <v>0.0</v>
      </c>
      <c r="E4" s="9">
        <v>1.0</v>
      </c>
      <c r="F4" s="42">
        <f t="shared" ref="F4:F14" si="1">IF(C4="Yes",D4*E4,0)</f>
        <v>0</v>
      </c>
      <c r="G4" s="5" t="s">
        <v>320</v>
      </c>
    </row>
    <row r="5">
      <c r="A5" s="10" t="s">
        <v>321</v>
      </c>
      <c r="B5" s="10" t="s">
        <v>322</v>
      </c>
      <c r="C5" s="22" t="s">
        <v>132</v>
      </c>
      <c r="D5" s="20">
        <v>180.0</v>
      </c>
      <c r="E5" s="9">
        <v>2.0</v>
      </c>
      <c r="F5" s="42">
        <f t="shared" si="1"/>
        <v>360</v>
      </c>
      <c r="G5" s="5"/>
    </row>
    <row r="6">
      <c r="A6" s="10"/>
      <c r="B6" s="10" t="s">
        <v>322</v>
      </c>
      <c r="C6" s="22" t="s">
        <v>214</v>
      </c>
      <c r="D6" s="20">
        <v>0.0</v>
      </c>
      <c r="E6" s="9">
        <v>1.0</v>
      </c>
      <c r="F6" s="42">
        <f t="shared" si="1"/>
        <v>0</v>
      </c>
      <c r="G6" s="5"/>
    </row>
    <row r="7">
      <c r="A7" s="10" t="s">
        <v>323</v>
      </c>
      <c r="B7" s="10" t="s">
        <v>322</v>
      </c>
      <c r="C7" s="22" t="s">
        <v>214</v>
      </c>
      <c r="D7" s="20">
        <v>650.0</v>
      </c>
      <c r="E7" s="9">
        <v>1.0</v>
      </c>
      <c r="F7" s="42">
        <f t="shared" si="1"/>
        <v>0</v>
      </c>
      <c r="G7" s="5"/>
    </row>
    <row r="8">
      <c r="A8" s="10" t="s">
        <v>324</v>
      </c>
      <c r="B8" s="10" t="s">
        <v>322</v>
      </c>
      <c r="C8" s="22" t="s">
        <v>214</v>
      </c>
      <c r="D8" s="20">
        <v>4500.0</v>
      </c>
      <c r="E8" s="9">
        <v>1.0</v>
      </c>
      <c r="F8" s="42">
        <f t="shared" si="1"/>
        <v>0</v>
      </c>
      <c r="G8" s="5" t="s">
        <v>325</v>
      </c>
    </row>
    <row r="9">
      <c r="A9" s="10" t="s">
        <v>326</v>
      </c>
      <c r="B9" s="10" t="s">
        <v>322</v>
      </c>
      <c r="C9" s="22" t="s">
        <v>214</v>
      </c>
      <c r="D9" s="20">
        <v>850.0</v>
      </c>
      <c r="E9" s="9">
        <v>1.0</v>
      </c>
      <c r="F9" s="42">
        <f t="shared" si="1"/>
        <v>0</v>
      </c>
      <c r="G9" s="5" t="s">
        <v>327</v>
      </c>
    </row>
    <row r="10">
      <c r="A10" s="10" t="s">
        <v>328</v>
      </c>
      <c r="B10" s="10" t="s">
        <v>322</v>
      </c>
      <c r="C10" s="22" t="s">
        <v>214</v>
      </c>
      <c r="D10" s="20">
        <v>0.0</v>
      </c>
      <c r="E10" s="9">
        <v>1.0</v>
      </c>
      <c r="F10" s="42">
        <f t="shared" si="1"/>
        <v>0</v>
      </c>
      <c r="G10" s="5" t="s">
        <v>330</v>
      </c>
    </row>
    <row r="11">
      <c r="A11" s="10" t="s">
        <v>331</v>
      </c>
      <c r="B11" s="10" t="s">
        <v>322</v>
      </c>
      <c r="C11" s="22" t="s">
        <v>214</v>
      </c>
      <c r="D11" s="20">
        <v>0.0</v>
      </c>
      <c r="E11" s="9">
        <v>1.0</v>
      </c>
      <c r="F11" s="42">
        <f t="shared" si="1"/>
        <v>0</v>
      </c>
      <c r="G11" s="5" t="s">
        <v>330</v>
      </c>
    </row>
    <row r="12">
      <c r="A12" s="10" t="s">
        <v>334</v>
      </c>
      <c r="B12" s="10" t="s">
        <v>322</v>
      </c>
      <c r="C12" s="22" t="s">
        <v>214</v>
      </c>
      <c r="D12" s="20">
        <v>0.0</v>
      </c>
      <c r="E12" s="9">
        <v>1.0</v>
      </c>
      <c r="F12" s="42">
        <f t="shared" si="1"/>
        <v>0</v>
      </c>
      <c r="G12" s="5" t="s">
        <v>330</v>
      </c>
    </row>
    <row r="13">
      <c r="A13" s="10" t="s">
        <v>337</v>
      </c>
      <c r="B13" s="10" t="s">
        <v>322</v>
      </c>
      <c r="C13" s="22" t="s">
        <v>214</v>
      </c>
      <c r="D13" s="20">
        <v>0.0</v>
      </c>
      <c r="E13" s="9">
        <v>1.0</v>
      </c>
      <c r="F13" s="42">
        <f t="shared" si="1"/>
        <v>0</v>
      </c>
      <c r="G13" s="5" t="s">
        <v>330</v>
      </c>
    </row>
    <row r="14">
      <c r="A14" s="10" t="s">
        <v>339</v>
      </c>
      <c r="B14" s="10" t="s">
        <v>322</v>
      </c>
      <c r="C14" s="22" t="s">
        <v>214</v>
      </c>
      <c r="D14" s="20">
        <v>0.0</v>
      </c>
      <c r="E14" s="9">
        <v>1.0</v>
      </c>
      <c r="F14" s="42">
        <f t="shared" si="1"/>
        <v>0</v>
      </c>
      <c r="G14" s="5" t="s">
        <v>330</v>
      </c>
    </row>
    <row r="16">
      <c r="A16" s="6" t="s">
        <v>341</v>
      </c>
      <c r="B16" s="31">
        <f>SUMIFS(F4:F14,B4:B14,"Seal Kit",C4:C14,"Yes")</f>
        <v>0</v>
      </c>
    </row>
    <row r="17">
      <c r="A17" s="6" t="s">
        <v>344</v>
      </c>
      <c r="B17" s="31">
        <f>SUMIFS(F4:F14,B4:B14,"Bought Out",C4:C14,"Yes")</f>
        <v>360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B4:B14">
      <formula1>"Seal Kit,Bought Out"</formula1>
    </dataValidation>
    <dataValidation type="list" allowBlank="1" sqref="C4:C14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8.0"/>
    <col customWidth="1" min="3" max="3" width="14.0"/>
    <col customWidth="1" min="4" max="4" width="30.0"/>
    <col customWidth="1" min="5" max="26" width="8.71"/>
  </cols>
  <sheetData>
    <row r="1" ht="21.75" customHeight="1">
      <c r="A1" s="3" t="s">
        <v>329</v>
      </c>
      <c r="B1" s="2"/>
      <c r="C1" s="2"/>
      <c r="D1" s="4"/>
    </row>
    <row r="2">
      <c r="A2" s="5" t="s">
        <v>332</v>
      </c>
    </row>
    <row r="4">
      <c r="A4" s="8" t="s">
        <v>333</v>
      </c>
      <c r="B4" s="2"/>
      <c r="C4" s="2"/>
      <c r="D4" s="4"/>
    </row>
    <row r="5">
      <c r="A5" s="19" t="s">
        <v>335</v>
      </c>
      <c r="B5" s="18">
        <v>3.0</v>
      </c>
    </row>
    <row r="6">
      <c r="A6" s="19" t="s">
        <v>336</v>
      </c>
      <c r="B6" s="20">
        <v>250.0</v>
      </c>
    </row>
    <row r="7">
      <c r="A7" s="6" t="s">
        <v>338</v>
      </c>
      <c r="B7" s="31">
        <f>B5*B6</f>
        <v>750</v>
      </c>
    </row>
    <row r="9">
      <c r="A9" s="8" t="s">
        <v>340</v>
      </c>
      <c r="B9" s="2"/>
      <c r="C9" s="2"/>
      <c r="D9" s="4"/>
    </row>
    <row r="10">
      <c r="A10" s="19" t="s">
        <v>342</v>
      </c>
      <c r="B10" s="18">
        <v>4500.0</v>
      </c>
      <c r="C10" s="5" t="s">
        <v>343</v>
      </c>
    </row>
    <row r="11">
      <c r="A11" s="19" t="s">
        <v>345</v>
      </c>
      <c r="B11" s="43">
        <f>PaintingRate</f>
        <v>0.2</v>
      </c>
    </row>
    <row r="12">
      <c r="A12" s="6" t="s">
        <v>346</v>
      </c>
      <c r="B12" s="31">
        <f>B10*B11</f>
        <v>900</v>
      </c>
    </row>
    <row r="14">
      <c r="A14" s="8" t="s">
        <v>348</v>
      </c>
      <c r="B14" s="2"/>
      <c r="C14" s="2"/>
      <c r="D14" s="4"/>
    </row>
    <row r="15">
      <c r="A15" s="19" t="s">
        <v>351</v>
      </c>
      <c r="B15" s="9" t="s">
        <v>352</v>
      </c>
    </row>
    <row r="16">
      <c r="A16" s="19" t="s">
        <v>354</v>
      </c>
      <c r="B16" s="18">
        <v>150.0</v>
      </c>
      <c r="C16" s="5" t="s">
        <v>357</v>
      </c>
    </row>
    <row r="17">
      <c r="A17" s="19" t="s">
        <v>358</v>
      </c>
      <c r="B17" s="43">
        <f>IF(B15="Wooden Box",PackingWoodenRate,PackingLooseRate)</f>
        <v>15</v>
      </c>
    </row>
    <row r="18">
      <c r="A18" s="6" t="s">
        <v>364</v>
      </c>
      <c r="B18" s="31">
        <f>B16*B17</f>
        <v>2250</v>
      </c>
    </row>
    <row r="20">
      <c r="A20" s="8" t="s">
        <v>366</v>
      </c>
      <c r="B20" s="2"/>
      <c r="C20" s="2"/>
      <c r="D20" s="4"/>
    </row>
    <row r="21" ht="15.75" customHeight="1">
      <c r="A21" s="6" t="s">
        <v>369</v>
      </c>
      <c r="B21" s="31">
        <f>B7+B12+B18</f>
        <v>3900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4:D4"/>
    <mergeCell ref="A9:D9"/>
    <mergeCell ref="A14:D14"/>
    <mergeCell ref="A20:D20"/>
  </mergeCells>
  <dataValidations>
    <dataValidation type="list" allowBlank="1" sqref="B15">
      <formula1>"Loose,Wooden Box"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6.0"/>
    <col customWidth="1" min="3" max="3" width="14.0"/>
    <col customWidth="1" min="4" max="4" width="30.0"/>
    <col customWidth="1" min="5" max="26" width="8.71"/>
  </cols>
  <sheetData>
    <row r="1" ht="21.75" customHeight="1">
      <c r="A1" s="3" t="s">
        <v>350</v>
      </c>
      <c r="B1" s="2"/>
      <c r="C1" s="2"/>
      <c r="D1" s="4"/>
    </row>
    <row r="2">
      <c r="A2" s="5" t="s">
        <v>353</v>
      </c>
    </row>
    <row r="3">
      <c r="A3" s="6" t="s">
        <v>355</v>
      </c>
      <c r="B3" s="22" t="s">
        <v>214</v>
      </c>
    </row>
    <row r="5">
      <c r="A5" s="8" t="s">
        <v>359</v>
      </c>
      <c r="B5" s="2"/>
      <c r="C5" s="2"/>
      <c r="D5" s="4"/>
    </row>
    <row r="6">
      <c r="A6" s="7" t="s">
        <v>106</v>
      </c>
      <c r="B6" s="7" t="s">
        <v>203</v>
      </c>
      <c r="C6" s="7"/>
      <c r="D6" s="7" t="s">
        <v>20</v>
      </c>
    </row>
    <row r="7">
      <c r="A7" s="10" t="s">
        <v>363</v>
      </c>
      <c r="B7" s="20">
        <v>0.0</v>
      </c>
      <c r="D7" s="5"/>
    </row>
    <row r="8">
      <c r="A8" s="10" t="s">
        <v>365</v>
      </c>
      <c r="B8" s="20">
        <v>0.0</v>
      </c>
      <c r="D8" s="5"/>
    </row>
    <row r="9">
      <c r="A9" s="10" t="s">
        <v>113</v>
      </c>
      <c r="B9" s="20">
        <v>0.0</v>
      </c>
      <c r="D9" s="5"/>
    </row>
    <row r="10">
      <c r="A10" s="10" t="s">
        <v>367</v>
      </c>
      <c r="B10" s="20">
        <v>0.0</v>
      </c>
      <c r="D10" s="5"/>
    </row>
    <row r="11">
      <c r="A11" s="10" t="s">
        <v>370</v>
      </c>
      <c r="B11" s="20">
        <v>0.0</v>
      </c>
      <c r="D11" s="5"/>
    </row>
    <row r="12">
      <c r="A12" s="10" t="s">
        <v>371</v>
      </c>
      <c r="B12" s="20">
        <v>0.0</v>
      </c>
      <c r="D12" s="5"/>
    </row>
    <row r="13">
      <c r="A13" s="10" t="s">
        <v>373</v>
      </c>
      <c r="B13" s="20">
        <v>0.0</v>
      </c>
      <c r="D13" s="5"/>
    </row>
    <row r="14">
      <c r="A14" s="10" t="s">
        <v>374</v>
      </c>
      <c r="B14" s="20">
        <v>0.0</v>
      </c>
      <c r="D14" s="5"/>
    </row>
    <row r="15">
      <c r="A15" s="10" t="s">
        <v>376</v>
      </c>
      <c r="B15" s="20">
        <v>0.0</v>
      </c>
      <c r="D15" s="5"/>
    </row>
    <row r="16">
      <c r="A16" s="10" t="s">
        <v>116</v>
      </c>
      <c r="B16" s="20">
        <v>0.0</v>
      </c>
      <c r="D16" s="5"/>
    </row>
    <row r="17">
      <c r="A17" s="6" t="s">
        <v>378</v>
      </c>
      <c r="B17" s="31">
        <f>SUM(B7:B16)</f>
        <v>0</v>
      </c>
    </row>
    <row r="19">
      <c r="A19" s="8" t="s">
        <v>381</v>
      </c>
      <c r="B19" s="2"/>
      <c r="C19" s="2"/>
      <c r="D19" s="4"/>
    </row>
    <row r="20">
      <c r="A20" s="7" t="s">
        <v>382</v>
      </c>
      <c r="B20" s="7" t="s">
        <v>317</v>
      </c>
      <c r="C20" s="7" t="s">
        <v>202</v>
      </c>
      <c r="D20" s="7" t="s">
        <v>203</v>
      </c>
    </row>
    <row r="21" ht="15.75" customHeight="1">
      <c r="A21" s="10" t="s">
        <v>362</v>
      </c>
      <c r="B21" s="26">
        <v>0.0</v>
      </c>
      <c r="C21" s="20">
        <v>0.0</v>
      </c>
      <c r="D21" s="42">
        <f t="shared" ref="D21:D28" si="1">B21*C21</f>
        <v>0</v>
      </c>
    </row>
    <row r="22" ht="15.75" customHeight="1">
      <c r="A22" s="10" t="s">
        <v>385</v>
      </c>
      <c r="B22" s="26">
        <v>0.0</v>
      </c>
      <c r="C22" s="20">
        <v>0.0</v>
      </c>
      <c r="D22" s="42">
        <f t="shared" si="1"/>
        <v>0</v>
      </c>
    </row>
    <row r="23" ht="15.75" customHeight="1">
      <c r="A23" s="10" t="s">
        <v>377</v>
      </c>
      <c r="B23" s="26">
        <v>0.0</v>
      </c>
      <c r="C23" s="20">
        <v>0.0</v>
      </c>
      <c r="D23" s="42">
        <f t="shared" si="1"/>
        <v>0</v>
      </c>
    </row>
    <row r="24" ht="15.75" customHeight="1">
      <c r="A24" s="10" t="s">
        <v>386</v>
      </c>
      <c r="B24" s="26">
        <v>0.0</v>
      </c>
      <c r="C24" s="20">
        <v>0.0</v>
      </c>
      <c r="D24" s="42">
        <f t="shared" si="1"/>
        <v>0</v>
      </c>
    </row>
    <row r="25" ht="15.75" customHeight="1">
      <c r="A25" s="10" t="s">
        <v>389</v>
      </c>
      <c r="B25" s="26">
        <v>0.0</v>
      </c>
      <c r="C25" s="20">
        <v>0.0</v>
      </c>
      <c r="D25" s="42">
        <f t="shared" si="1"/>
        <v>0</v>
      </c>
    </row>
    <row r="26" ht="15.75" customHeight="1">
      <c r="A26" s="10" t="s">
        <v>391</v>
      </c>
      <c r="B26" s="26">
        <v>0.0</v>
      </c>
      <c r="C26" s="20">
        <v>0.0</v>
      </c>
      <c r="D26" s="42">
        <f t="shared" si="1"/>
        <v>0</v>
      </c>
    </row>
    <row r="27" ht="15.75" customHeight="1">
      <c r="A27" s="10" t="s">
        <v>392</v>
      </c>
      <c r="B27" s="26">
        <v>0.0</v>
      </c>
      <c r="C27" s="20">
        <v>0.0</v>
      </c>
      <c r="D27" s="42">
        <f t="shared" si="1"/>
        <v>0</v>
      </c>
    </row>
    <row r="28" ht="15.75" customHeight="1">
      <c r="A28" s="10" t="s">
        <v>394</v>
      </c>
      <c r="B28" s="26">
        <v>0.0</v>
      </c>
      <c r="C28" s="20">
        <v>0.0</v>
      </c>
      <c r="D28" s="42">
        <f t="shared" si="1"/>
        <v>0</v>
      </c>
    </row>
    <row r="29" ht="15.75" customHeight="1">
      <c r="A29" s="6" t="s">
        <v>396</v>
      </c>
      <c r="B29" s="31">
        <f>SUM(D21:D28)</f>
        <v>0</v>
      </c>
    </row>
    <row r="30" ht="15.75" customHeight="1"/>
    <row r="31" ht="15.75" customHeight="1">
      <c r="A31" s="8" t="s">
        <v>397</v>
      </c>
      <c r="B31" s="2"/>
      <c r="C31" s="2"/>
      <c r="D31" s="4"/>
    </row>
    <row r="32" ht="15.75" customHeight="1">
      <c r="A32" s="6" t="s">
        <v>399</v>
      </c>
      <c r="B32" s="31">
        <f>B17+B29</f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5:D5"/>
    <mergeCell ref="A19:D19"/>
    <mergeCell ref="A31:D31"/>
  </mergeCells>
  <dataValidations>
    <dataValidation type="list" allowBlank="1" sqref="B3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18.0"/>
    <col customWidth="1" min="3" max="3" width="30.0"/>
    <col customWidth="1" min="4" max="26" width="8.71"/>
  </cols>
  <sheetData>
    <row r="1" ht="21.75" customHeight="1">
      <c r="A1" s="3" t="s">
        <v>347</v>
      </c>
      <c r="B1" s="2"/>
      <c r="C1" s="4"/>
    </row>
    <row r="2">
      <c r="A2" s="19" t="s">
        <v>349</v>
      </c>
      <c r="B2" s="44" t="str">
        <f>CylinderName</f>
        <v>Excavator Boom Cylinder</v>
      </c>
    </row>
    <row r="3">
      <c r="A3" s="19" t="s">
        <v>356</v>
      </c>
      <c r="B3" s="44" t="str">
        <f>InquiryNo</f>
        <v>INQ-0001</v>
      </c>
    </row>
    <row r="5">
      <c r="A5" s="8" t="s">
        <v>360</v>
      </c>
      <c r="B5" s="2"/>
      <c r="C5" s="4"/>
    </row>
    <row r="6">
      <c r="A6" s="7" t="s">
        <v>361</v>
      </c>
      <c r="B6" s="7" t="s">
        <v>203</v>
      </c>
      <c r="C6" s="7" t="s">
        <v>20</v>
      </c>
    </row>
    <row r="7">
      <c r="A7" s="19" t="s">
        <v>362</v>
      </c>
      <c r="B7" s="28">
        <f>Tube_TotalCost</f>
        <v>4914.416685</v>
      </c>
    </row>
    <row r="8">
      <c r="A8" s="19" t="s">
        <v>368</v>
      </c>
      <c r="B8" s="28">
        <f>PistonRod_TotalCost</f>
        <v>7314.242382</v>
      </c>
    </row>
    <row r="9">
      <c r="A9" s="19" t="s">
        <v>372</v>
      </c>
      <c r="B9" s="28" t="str">
        <f>CEC_TotalCost</f>
        <v>#N/A</v>
      </c>
    </row>
    <row r="10">
      <c r="A10" s="19" t="s">
        <v>375</v>
      </c>
      <c r="B10" s="28" t="str">
        <f>HEC_TotalCost</f>
        <v>#N/A</v>
      </c>
    </row>
    <row r="11">
      <c r="A11" s="19" t="s">
        <v>377</v>
      </c>
      <c r="B11" s="28" t="str">
        <f>Gland_TotalCost</f>
        <v>#N/A</v>
      </c>
    </row>
    <row r="12">
      <c r="A12" s="19" t="s">
        <v>379</v>
      </c>
      <c r="B12" s="28">
        <f>CushionBush_TotalCost</f>
        <v>3798.467346</v>
      </c>
    </row>
    <row r="13">
      <c r="A13" s="19" t="s">
        <v>380</v>
      </c>
      <c r="B13" s="28" t="str">
        <f>StopTube_TotalCost</f>
        <v>#N/A</v>
      </c>
    </row>
    <row r="14">
      <c r="A14" s="19" t="s">
        <v>383</v>
      </c>
      <c r="B14" s="28" t="str">
        <f>RearEye_TotalCost</f>
        <v>#N/A</v>
      </c>
    </row>
    <row r="15">
      <c r="A15" s="19" t="s">
        <v>384</v>
      </c>
      <c r="B15" s="28" t="str">
        <f>RodEye_TotalCost</f>
        <v>#N/A</v>
      </c>
    </row>
    <row r="16">
      <c r="A16" s="19" t="s">
        <v>386</v>
      </c>
      <c r="B16" s="28" t="str">
        <f>Piston_TotalCost</f>
        <v>#N/A</v>
      </c>
    </row>
    <row r="17">
      <c r="A17" s="19" t="s">
        <v>387</v>
      </c>
      <c r="B17" s="28" t="str">
        <f>Flange_TotalCost</f>
        <v>#N/A</v>
      </c>
    </row>
    <row r="18">
      <c r="A18" s="19" t="s">
        <v>388</v>
      </c>
      <c r="B18" s="28">
        <f>Trunnion_TotalCost</f>
        <v>2395.2</v>
      </c>
    </row>
    <row r="19">
      <c r="A19" s="6" t="s">
        <v>390</v>
      </c>
      <c r="B19" s="31" t="str">
        <f>SUM(B7:B18)</f>
        <v>#N/A</v>
      </c>
    </row>
    <row r="21" ht="15.75" customHeight="1">
      <c r="A21" s="8" t="s">
        <v>393</v>
      </c>
      <c r="B21" s="2"/>
      <c r="C21" s="4"/>
    </row>
    <row r="22" ht="15.75" customHeight="1">
      <c r="A22" s="6" t="s">
        <v>395</v>
      </c>
      <c r="B22" s="29">
        <f>IFERROR(Tube_Weight,0)+IFERROR(PistonRod_Weight,0)+IFERROR(CEC_Weight,0)+IFERROR(HEC_Weight,0)+IFERROR(Gland_Weight,0)+IFERROR(CushionBush_Weight,0)+IFERROR(StopTube_Weight,0)+IFERROR(RearEye_Weight,0)+IFERROR(RodEye_Weight,0)+IFERROR(Piston_Weight,0)+IFERROR(Flange_Weight,0)+IFERROR(Trunnion_Weight,0)</f>
        <v>76.54190031</v>
      </c>
      <c r="C22" s="5" t="s">
        <v>404</v>
      </c>
    </row>
    <row r="23" ht="15.75" customHeight="1">
      <c r="A23" s="19" t="s">
        <v>407</v>
      </c>
      <c r="B23" s="24">
        <v>0.0</v>
      </c>
      <c r="C23" s="5" t="s">
        <v>409</v>
      </c>
    </row>
    <row r="24" ht="15.75" customHeight="1">
      <c r="A24" s="6" t="s">
        <v>410</v>
      </c>
      <c r="B24" s="29">
        <f>B22+B23</f>
        <v>76.54190031</v>
      </c>
      <c r="C24" s="5" t="s">
        <v>404</v>
      </c>
    </row>
    <row r="25" ht="15.75" customHeight="1"/>
    <row r="26" ht="15.75" customHeight="1">
      <c r="A26" s="8" t="s">
        <v>411</v>
      </c>
      <c r="B26" s="2"/>
      <c r="C26" s="4"/>
    </row>
    <row r="27" ht="15.75" customHeight="1">
      <c r="A27" s="19" t="s">
        <v>412</v>
      </c>
      <c r="B27" s="28">
        <f>TotalSealKitCost</f>
        <v>0</v>
      </c>
    </row>
    <row r="28" ht="15.75" customHeight="1">
      <c r="A28" s="19" t="s">
        <v>413</v>
      </c>
      <c r="B28" s="28">
        <f>TotalBoughtOutCost</f>
        <v>360</v>
      </c>
    </row>
    <row r="29" ht="15.75" customHeight="1">
      <c r="A29" s="19" t="s">
        <v>414</v>
      </c>
      <c r="B29" s="28">
        <f>AssemblyCost</f>
        <v>750</v>
      </c>
    </row>
    <row r="30" ht="15.75" customHeight="1">
      <c r="A30" s="19" t="s">
        <v>415</v>
      </c>
      <c r="B30" s="28">
        <f>PaintingCost</f>
        <v>900</v>
      </c>
    </row>
    <row r="31" ht="15.75" customHeight="1">
      <c r="A31" s="19" t="s">
        <v>416</v>
      </c>
      <c r="B31" s="28">
        <f>PackingCost</f>
        <v>2250</v>
      </c>
    </row>
    <row r="32" ht="15.75" customHeight="1">
      <c r="A32" s="6" t="s">
        <v>418</v>
      </c>
      <c r="B32" s="31">
        <f>SUM(B27:B31)</f>
        <v>4260</v>
      </c>
    </row>
    <row r="33" ht="15.75" customHeight="1"/>
    <row r="34" ht="15.75" customHeight="1">
      <c r="A34" s="8" t="s">
        <v>420</v>
      </c>
      <c r="B34" s="2"/>
      <c r="C34" s="4"/>
    </row>
    <row r="35" ht="15.75" customHeight="1">
      <c r="A35" s="19" t="s">
        <v>423</v>
      </c>
      <c r="B35" s="28">
        <f>IF(ReconditioningInclude="Yes",Reconditioning_TotalCost,0)</f>
        <v>0</v>
      </c>
    </row>
    <row r="36" ht="15.75" customHeight="1"/>
    <row r="37" ht="15.75" customHeight="1">
      <c r="A37" s="8" t="s">
        <v>427</v>
      </c>
      <c r="B37" s="2"/>
      <c r="C37" s="4"/>
    </row>
    <row r="38" ht="15.75" customHeight="1">
      <c r="A38" s="6" t="s">
        <v>431</v>
      </c>
      <c r="B38" s="31" t="str">
        <f>B19+B32+B35</f>
        <v>#N/A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A5:C5"/>
    <mergeCell ref="A21:C21"/>
    <mergeCell ref="A26:C26"/>
    <mergeCell ref="A34:C34"/>
    <mergeCell ref="A37:C37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5" width="16.0"/>
    <col customWidth="1" min="6" max="6" width="12.0"/>
    <col customWidth="1" min="7" max="7" width="14.0"/>
    <col customWidth="1" min="8" max="26" width="8.71"/>
  </cols>
  <sheetData>
    <row r="1" ht="21.75" customHeight="1">
      <c r="A1" s="3" t="s">
        <v>398</v>
      </c>
      <c r="B1" s="2"/>
      <c r="C1" s="2"/>
      <c r="D1" s="2"/>
      <c r="E1" s="2"/>
      <c r="F1" s="2"/>
      <c r="G1" s="4"/>
    </row>
    <row r="2">
      <c r="A2" s="5" t="s">
        <v>400</v>
      </c>
    </row>
    <row r="4">
      <c r="A4" s="7" t="s">
        <v>361</v>
      </c>
      <c r="B4" s="7" t="s">
        <v>401</v>
      </c>
      <c r="C4" s="7" t="s">
        <v>402</v>
      </c>
      <c r="D4" s="7" t="s">
        <v>403</v>
      </c>
      <c r="E4" s="7" t="s">
        <v>405</v>
      </c>
      <c r="F4" s="7" t="s">
        <v>406</v>
      </c>
      <c r="G4" s="7" t="s">
        <v>408</v>
      </c>
    </row>
    <row r="5">
      <c r="A5" s="19" t="s">
        <v>362</v>
      </c>
      <c r="B5" s="28">
        <f>Tube_MaterialCost</f>
        <v>762.1280197</v>
      </c>
      <c r="C5" s="20">
        <v>0.0</v>
      </c>
      <c r="D5" s="28">
        <f>Tube_ProcessCost</f>
        <v>4152.288666</v>
      </c>
      <c r="E5" s="20">
        <v>0.0</v>
      </c>
      <c r="F5" s="32">
        <f t="shared" ref="F5:F16" si="1">(C5+E5)-(B5+D5)</f>
        <v>-4914.416685</v>
      </c>
      <c r="G5" s="45">
        <f t="shared" ref="G5:G16" si="2">IF((B5+D5)=0,0,F5/(B5+D5))</f>
        <v>-1</v>
      </c>
    </row>
    <row r="6">
      <c r="A6" s="19" t="s">
        <v>368</v>
      </c>
      <c r="B6" s="28">
        <f>PistonRod_MaterialCost</f>
        <v>2507.428656</v>
      </c>
      <c r="C6" s="20">
        <v>0.0</v>
      </c>
      <c r="D6" s="28">
        <f>PistonRod_ProcessCost</f>
        <v>4806.813726</v>
      </c>
      <c r="E6" s="20">
        <v>0.0</v>
      </c>
      <c r="F6" s="32">
        <f t="shared" si="1"/>
        <v>-7314.242382</v>
      </c>
      <c r="G6" s="45">
        <f t="shared" si="2"/>
        <v>-1</v>
      </c>
    </row>
    <row r="7">
      <c r="A7" s="19" t="s">
        <v>372</v>
      </c>
      <c r="B7" s="28" t="str">
        <f>CEC_MaterialCost</f>
        <v>#N/A</v>
      </c>
      <c r="C7" s="20">
        <v>0.0</v>
      </c>
      <c r="D7" s="28">
        <f>CEC_ProcessCost</f>
        <v>545</v>
      </c>
      <c r="E7" s="20">
        <v>0.0</v>
      </c>
      <c r="F7" s="32" t="str">
        <f t="shared" si="1"/>
        <v>#N/A</v>
      </c>
      <c r="G7" s="45" t="str">
        <f t="shared" si="2"/>
        <v>#N/A</v>
      </c>
    </row>
    <row r="8">
      <c r="A8" s="19" t="s">
        <v>375</v>
      </c>
      <c r="B8" s="28" t="str">
        <f>HEC_MaterialCost</f>
        <v>#N/A</v>
      </c>
      <c r="C8" s="20">
        <v>0.0</v>
      </c>
      <c r="D8" s="28">
        <f>HEC_ProcessCost</f>
        <v>595</v>
      </c>
      <c r="E8" s="20">
        <v>0.0</v>
      </c>
      <c r="F8" s="32" t="str">
        <f t="shared" si="1"/>
        <v>#N/A</v>
      </c>
      <c r="G8" s="45" t="str">
        <f t="shared" si="2"/>
        <v>#N/A</v>
      </c>
    </row>
    <row r="9">
      <c r="A9" s="19" t="s">
        <v>377</v>
      </c>
      <c r="B9" s="28" t="str">
        <f>Gland_MaterialCost</f>
        <v>#N/A</v>
      </c>
      <c r="C9" s="20">
        <v>0.0</v>
      </c>
      <c r="D9" s="28">
        <f>Gland_ProcessCost</f>
        <v>445.1398188</v>
      </c>
      <c r="E9" s="20">
        <v>0.0</v>
      </c>
      <c r="F9" s="32" t="str">
        <f t="shared" si="1"/>
        <v>#N/A</v>
      </c>
      <c r="G9" s="45" t="str">
        <f t="shared" si="2"/>
        <v>#N/A</v>
      </c>
    </row>
    <row r="10">
      <c r="A10" s="19" t="s">
        <v>379</v>
      </c>
      <c r="B10" s="28">
        <f>CushionBush_MaterialCost</f>
        <v>3473.327528</v>
      </c>
      <c r="C10" s="20">
        <v>0.0</v>
      </c>
      <c r="D10" s="28">
        <f>CushionBush_ProcessCost</f>
        <v>325.1398188</v>
      </c>
      <c r="E10" s="20">
        <v>0.0</v>
      </c>
      <c r="F10" s="32">
        <f t="shared" si="1"/>
        <v>-3798.467346</v>
      </c>
      <c r="G10" s="45">
        <f t="shared" si="2"/>
        <v>-1</v>
      </c>
    </row>
    <row r="11">
      <c r="A11" s="19" t="s">
        <v>380</v>
      </c>
      <c r="B11" s="28" t="str">
        <f>StopTube_MaterialCost</f>
        <v>#N/A</v>
      </c>
      <c r="C11" s="20">
        <v>0.0</v>
      </c>
      <c r="D11" s="28">
        <f>StopTube_ProcessCost</f>
        <v>189.75</v>
      </c>
      <c r="E11" s="20">
        <v>0.0</v>
      </c>
      <c r="F11" s="32" t="str">
        <f t="shared" si="1"/>
        <v>#N/A</v>
      </c>
      <c r="G11" s="45" t="str">
        <f t="shared" si="2"/>
        <v>#N/A</v>
      </c>
    </row>
    <row r="12">
      <c r="A12" s="19" t="s">
        <v>383</v>
      </c>
      <c r="B12" s="28" t="str">
        <f>RearEye_MaterialCost</f>
        <v>#N/A</v>
      </c>
      <c r="C12" s="20">
        <v>0.0</v>
      </c>
      <c r="D12" s="28" t="str">
        <f>RearEye_ProcessCost</f>
        <v>#N/A</v>
      </c>
      <c r="E12" s="20">
        <v>0.0</v>
      </c>
      <c r="F12" s="32" t="str">
        <f t="shared" si="1"/>
        <v>#N/A</v>
      </c>
      <c r="G12" s="45" t="str">
        <f t="shared" si="2"/>
        <v>#N/A</v>
      </c>
    </row>
    <row r="13">
      <c r="A13" s="19" t="s">
        <v>384</v>
      </c>
      <c r="B13" s="28" t="str">
        <f>RodEye_MaterialCost</f>
        <v>#N/A</v>
      </c>
      <c r="C13" s="20">
        <v>0.0</v>
      </c>
      <c r="D13" s="28" t="str">
        <f>RodEye_ProcessCost</f>
        <v>#N/A</v>
      </c>
      <c r="E13" s="20">
        <v>0.0</v>
      </c>
      <c r="F13" s="32" t="str">
        <f t="shared" si="1"/>
        <v>#N/A</v>
      </c>
      <c r="G13" s="45" t="str">
        <f t="shared" si="2"/>
        <v>#N/A</v>
      </c>
    </row>
    <row r="14">
      <c r="A14" s="19" t="s">
        <v>386</v>
      </c>
      <c r="B14" s="28" t="str">
        <f>Piston_MaterialCost</f>
        <v>#N/A</v>
      </c>
      <c r="C14" s="20">
        <v>0.0</v>
      </c>
      <c r="D14" s="28" t="str">
        <f>Piston_ProcessCost</f>
        <v>#N/A</v>
      </c>
      <c r="E14" s="20">
        <v>0.0</v>
      </c>
      <c r="F14" s="32" t="str">
        <f t="shared" si="1"/>
        <v>#N/A</v>
      </c>
      <c r="G14" s="45" t="str">
        <f t="shared" si="2"/>
        <v>#N/A</v>
      </c>
    </row>
    <row r="15">
      <c r="A15" s="19" t="s">
        <v>387</v>
      </c>
      <c r="B15" s="28" t="str">
        <f>Flange_MaterialCost</f>
        <v>#N/A</v>
      </c>
      <c r="C15" s="20">
        <v>0.0</v>
      </c>
      <c r="D15" s="28">
        <f>Flange_ProcessCost</f>
        <v>595</v>
      </c>
      <c r="E15" s="20">
        <v>0.0</v>
      </c>
      <c r="F15" s="32" t="str">
        <f t="shared" si="1"/>
        <v>#N/A</v>
      </c>
      <c r="G15" s="45" t="str">
        <f t="shared" si="2"/>
        <v>#N/A</v>
      </c>
    </row>
    <row r="16">
      <c r="A16" s="19" t="s">
        <v>388</v>
      </c>
      <c r="B16" s="28">
        <f>Trunnion_MaterialCost</f>
        <v>1067.6</v>
      </c>
      <c r="C16" s="20">
        <v>0.0</v>
      </c>
      <c r="D16" s="28">
        <f>Trunnion_ProcessCost</f>
        <v>130</v>
      </c>
      <c r="E16" s="20">
        <v>0.0</v>
      </c>
      <c r="F16" s="32">
        <f t="shared" si="1"/>
        <v>-1197.6</v>
      </c>
      <c r="G16" s="45">
        <f t="shared" si="2"/>
        <v>-1</v>
      </c>
    </row>
    <row r="17">
      <c r="A17" s="6" t="s">
        <v>366</v>
      </c>
      <c r="B17" s="31" t="str">
        <f t="shared" ref="B17:F17" si="3">SUM(B5:B16)</f>
        <v>#N/A</v>
      </c>
      <c r="C17" s="31">
        <f t="shared" si="3"/>
        <v>0</v>
      </c>
      <c r="D17" s="31" t="str">
        <f t="shared" si="3"/>
        <v>#N/A</v>
      </c>
      <c r="E17" s="31">
        <f t="shared" si="3"/>
        <v>0</v>
      </c>
      <c r="F17" s="31" t="str">
        <f t="shared" si="3"/>
        <v>#N/A</v>
      </c>
      <c r="G17" s="61" t="str">
        <f>IF(SUM(B5:B16,D5:D16)=0,0,F17/SUM(B5:B16,D5:D16))</f>
        <v>#N/A</v>
      </c>
    </row>
    <row r="19">
      <c r="A19" s="8" t="s">
        <v>451</v>
      </c>
      <c r="B19" s="2"/>
      <c r="C19" s="2"/>
      <c r="D19" s="2"/>
      <c r="E19" s="2"/>
      <c r="F19" s="2"/>
      <c r="G19" s="4"/>
    </row>
    <row r="20">
      <c r="A20" s="19" t="s">
        <v>452</v>
      </c>
      <c r="B20" s="20">
        <v>0.0</v>
      </c>
    </row>
    <row r="21" ht="15.75" customHeight="1">
      <c r="A21" s="19" t="s">
        <v>454</v>
      </c>
      <c r="B21" s="20">
        <v>0.0</v>
      </c>
    </row>
    <row r="22" ht="15.75" customHeight="1">
      <c r="A22" s="19" t="s">
        <v>456</v>
      </c>
      <c r="B22" s="20">
        <v>0.0</v>
      </c>
    </row>
    <row r="23" ht="15.75" customHeight="1">
      <c r="A23" s="6" t="s">
        <v>458</v>
      </c>
      <c r="B23" s="31">
        <f>C17+E17+B20+B21+B22</f>
        <v>0</v>
      </c>
    </row>
    <row r="24" ht="15.75" customHeight="1">
      <c r="A24" s="19" t="s">
        <v>460</v>
      </c>
      <c r="B24" s="28" t="str">
        <f>TotalManufacturingCost</f>
        <v>#N/A</v>
      </c>
    </row>
    <row r="25" ht="15.75" customHeight="1">
      <c r="A25" s="6" t="s">
        <v>462</v>
      </c>
      <c r="B25" s="31" t="str">
        <f>B23-B24</f>
        <v>#N/A</v>
      </c>
    </row>
    <row r="26" ht="15.75" customHeight="1">
      <c r="A26" s="6" t="s">
        <v>464</v>
      </c>
      <c r="B26" s="61" t="str">
        <f>IF(B24=0,0,(B23-B24)/B24)</f>
        <v>#N/A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19:G19"/>
  </mergeCells>
  <conditionalFormatting sqref="G5:G18">
    <cfRule type="cellIs" dxfId="0" priority="1" operator="greaterThan">
      <formula>0.05</formula>
    </cfRule>
  </conditionalFormatting>
  <conditionalFormatting sqref="G5:G18">
    <cfRule type="cellIs" dxfId="1" priority="2" operator="lessThan">
      <formula>-0.05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3" width="16.0"/>
    <col customWidth="1" min="14" max="26" width="8.71"/>
  </cols>
  <sheetData>
    <row r="1" ht="21.75" customHeight="1">
      <c r="A1" s="3" t="s">
        <v>417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4"/>
    </row>
    <row r="2">
      <c r="A2" s="5" t="s">
        <v>419</v>
      </c>
    </row>
    <row r="4">
      <c r="A4" s="7" t="s">
        <v>421</v>
      </c>
      <c r="B4" s="7" t="s">
        <v>422</v>
      </c>
      <c r="C4" s="7" t="s">
        <v>424</v>
      </c>
      <c r="D4" s="7" t="s">
        <v>425</v>
      </c>
      <c r="E4" s="7" t="s">
        <v>49</v>
      </c>
      <c r="F4" s="7" t="s">
        <v>426</v>
      </c>
      <c r="G4" s="7" t="s">
        <v>56</v>
      </c>
      <c r="H4" s="7" t="s">
        <v>428</v>
      </c>
      <c r="I4" s="7" t="s">
        <v>429</v>
      </c>
      <c r="J4" s="7" t="s">
        <v>430</v>
      </c>
      <c r="K4" s="7" t="s">
        <v>432</v>
      </c>
      <c r="L4" s="7" t="s">
        <v>433</v>
      </c>
      <c r="M4" s="7" t="s">
        <v>434</v>
      </c>
    </row>
    <row r="5">
      <c r="A5" s="46" t="str">
        <f>CONCATENATE("CYL-",TEXT(InquiryDate,"YYYYMMDD"))</f>
        <v>CYL-20260814</v>
      </c>
      <c r="B5" s="47" t="str">
        <f>InquiryNo</f>
        <v>INQ-0001</v>
      </c>
      <c r="C5" s="47" t="str">
        <f>CustomerName</f>
        <v>Sample Customer Pvt Ltd</v>
      </c>
      <c r="D5" s="47" t="str">
        <f>CylinderName</f>
        <v>Excavator Boom Cylinder</v>
      </c>
      <c r="E5" s="47">
        <f>Bore</f>
        <v>100</v>
      </c>
      <c r="F5" s="47">
        <f>RodDia</f>
        <v>56</v>
      </c>
      <c r="G5" s="47">
        <f>Stroke</f>
        <v>800</v>
      </c>
      <c r="H5" s="47" t="str">
        <f>Mounting</f>
        <v>Clevis</v>
      </c>
      <c r="I5" s="48" t="str">
        <f>TotalManufacturingCost</f>
        <v>#N/A</v>
      </c>
      <c r="J5" s="20">
        <v>0.0</v>
      </c>
      <c r="K5" s="48">
        <f>IFERROR(ActualTotalCost,0)</f>
        <v>0</v>
      </c>
      <c r="L5" s="49">
        <f>IF(J5=0,0,(J5-I5)/J5)</f>
        <v>0</v>
      </c>
      <c r="M5" s="51">
        <f>InquiryDate</f>
        <v>46248</v>
      </c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8">
      <c r="A18" s="5" t="s">
        <v>455</v>
      </c>
    </row>
    <row r="19">
      <c r="A19" s="5" t="s">
        <v>457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conditionalFormatting sqref="L6:L16">
    <cfRule type="cellIs" dxfId="0" priority="1" operator="lessThan">
      <formula>0.1</formula>
    </cfRule>
  </conditionalFormatting>
  <conditionalFormatting sqref="L6:L16">
    <cfRule type="cellIs" dxfId="1" priority="2" operator="greaterThan">
      <formula>0.2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20.0"/>
    <col customWidth="1" min="2" max="2" width="27.0"/>
    <col customWidth="1" min="3" max="3" width="18.0"/>
    <col customWidth="1" min="4" max="4" width="30.0"/>
    <col customWidth="1" min="5" max="26" width="8.71"/>
  </cols>
  <sheetData>
    <row r="1">
      <c r="A1" s="50" t="s">
        <v>435</v>
      </c>
      <c r="B1" s="52" t="str">
        <f>InquiryNo</f>
        <v>INQ-0001</v>
      </c>
    </row>
    <row r="2">
      <c r="A2" s="50" t="s">
        <v>436</v>
      </c>
      <c r="B2" s="53"/>
    </row>
    <row r="3">
      <c r="A3" s="50" t="s">
        <v>437</v>
      </c>
      <c r="B3" s="54">
        <f>InquiryDate</f>
        <v>46248</v>
      </c>
    </row>
    <row r="4">
      <c r="A4" s="50" t="s">
        <v>438</v>
      </c>
      <c r="B4" s="52" t="str">
        <f>CustomerName</f>
        <v>Sample Customer Pvt Ltd</v>
      </c>
    </row>
    <row r="5">
      <c r="A5" s="50" t="s">
        <v>439</v>
      </c>
      <c r="B5" s="52" t="str">
        <f>CylinderName</f>
        <v>Excavator Boom Cylinder</v>
      </c>
    </row>
    <row r="6">
      <c r="A6" s="50" t="s">
        <v>440</v>
      </c>
      <c r="B6" s="52" t="str">
        <f>"Bore "&amp;Bore&amp;"mm x Rod "&amp;RodDia&amp;"mm x Stroke "&amp;Stroke&amp;"mm | "&amp;Mounting&amp;" | "&amp;WorkingPressure&amp;" bar"</f>
        <v>Bore 100mm x Rod 56mm x Stroke 800mm | Clevis | 250 bar</v>
      </c>
    </row>
    <row r="7">
      <c r="A7" s="50" t="s">
        <v>441</v>
      </c>
      <c r="B7" s="53"/>
      <c r="C7" s="5" t="s">
        <v>442</v>
      </c>
    </row>
    <row r="8">
      <c r="A8" s="50" t="s">
        <v>443</v>
      </c>
      <c r="B8" s="55">
        <f>TotalCylinderWeight</f>
        <v>76.54190031</v>
      </c>
      <c r="C8" s="5" t="s">
        <v>404</v>
      </c>
    </row>
    <row r="9">
      <c r="A9" s="50" t="s">
        <v>444</v>
      </c>
      <c r="B9" s="56">
        <v>1.0</v>
      </c>
    </row>
    <row r="10">
      <c r="A10" s="57" t="s">
        <v>445</v>
      </c>
      <c r="B10" s="57" t="s">
        <v>446</v>
      </c>
      <c r="C10" s="57" t="s">
        <v>447</v>
      </c>
      <c r="D10" s="57" t="s">
        <v>448</v>
      </c>
    </row>
    <row r="11">
      <c r="A11" s="50">
        <v>1.0</v>
      </c>
      <c r="B11" s="58" t="s">
        <v>449</v>
      </c>
      <c r="C11" s="59">
        <f>IFERROR(Tube_MaterialCost,0)+IFERROR(PistonRod_MaterialCost,0)+IFERROR(CEC_MaterialCost,0)+IFERROR(HEC_MaterialCost,0)+IFERROR(Gland_MaterialCost,0)+IFERROR(CushionBush_MaterialCost,0)+IFERROR(StopTube_MaterialCost,0)+IFERROR(RearEye_MaterialCost,0)+IFERROR(RodEye_MaterialCost,0)+IFERROR(Piston_MaterialCost,0)+IFERROR(Flange_MaterialCost,0)+IFERROR(Trunnion_MaterialCost,0)</f>
        <v>7810.484203</v>
      </c>
      <c r="D11" s="60"/>
    </row>
    <row r="12">
      <c r="A12" s="50">
        <v>2.0</v>
      </c>
      <c r="B12" s="58" t="s">
        <v>450</v>
      </c>
      <c r="C12" s="59">
        <f>IFERROR(Tube_ProcessCost,0)+IFERROR(PistonRod_ProcessCost,0)+IFERROR(CEC_ProcessCost,0)+IFERROR(HEC_ProcessCost,0)+IFERROR(Gland_ProcessCost,0)+IFERROR(CushionBush_ProcessCost,0)+IFERROR(StopTube_ProcessCost,0)+IFERROR(RearEye_ProcessCost,0)+IFERROR(RodEye_ProcessCost,0)+IFERROR(Piston_ProcessCost,0)+IFERROR(Flange_ProcessCost,0)+IFERROR(Trunnion_ProcessCost,0)</f>
        <v>11784.13203</v>
      </c>
      <c r="D12" s="60"/>
    </row>
    <row r="13">
      <c r="A13" s="50">
        <v>3.0</v>
      </c>
      <c r="B13" s="58" t="s">
        <v>453</v>
      </c>
      <c r="C13" s="59">
        <f>TotalBoughtOutCost</f>
        <v>360</v>
      </c>
      <c r="D13" s="60"/>
    </row>
    <row r="14">
      <c r="A14" s="50">
        <v>5.0</v>
      </c>
      <c r="B14" s="58" t="s">
        <v>459</v>
      </c>
      <c r="C14" s="59">
        <f>TotalSealKitCost</f>
        <v>0</v>
      </c>
      <c r="D14" s="60"/>
    </row>
    <row r="15">
      <c r="A15" s="50">
        <v>6.0</v>
      </c>
      <c r="B15" s="58" t="s">
        <v>461</v>
      </c>
      <c r="C15" s="59">
        <f>AssemblyPaintingPackingTotal</f>
        <v>3900</v>
      </c>
      <c r="D15" s="60"/>
    </row>
    <row r="16">
      <c r="A16" s="62"/>
      <c r="B16" s="63" t="s">
        <v>463</v>
      </c>
      <c r="C16" s="64">
        <f>SUM(C11:C15)</f>
        <v>23854.61623</v>
      </c>
      <c r="D16" s="6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2026-07-27T06:31:08Z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